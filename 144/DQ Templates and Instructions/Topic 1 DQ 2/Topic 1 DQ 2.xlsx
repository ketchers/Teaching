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2/"/>
    </mc:Choice>
  </mc:AlternateContent>
  <xr:revisionPtr revIDLastSave="609" documentId="8_{F0DFF4ED-F49F-4D0C-BB64-AFBFCD3897EA}" xr6:coauthVersionLast="47" xr6:coauthVersionMax="47" xr10:uidLastSave="{957A749B-E279-474D-8B50-7A61CEDCF0B4}"/>
  <bookViews>
    <workbookView xWindow="-120" yWindow="-120" windowWidth="29040" windowHeight="15720" xr2:uid="{DA857894-CCDD-4590-8F7E-A65A6A8D0808}"/>
  </bookViews>
  <sheets>
    <sheet name="Goals and Instructions" sheetId="4" r:id="rId1"/>
    <sheet name="Linear Fit" sheetId="1" r:id="rId2"/>
    <sheet name="Users" sheetId="6" state="hidden" r:id="rId3"/>
    <sheet name="GradeSheet" sheetId="5" state="hidden" r:id="rId4"/>
    <sheet name="Random" sheetId="2" state="hidden" r:id="rId5"/>
    <sheet name="Sheet1" sheetId="3" state="hidden" r:id="rId6"/>
  </sheets>
  <definedNames>
    <definedName name="rangepred">_xlfn.LAMBDA(_xlpm.x,AND(_xlpm.x &lt;&gt; "", IFERROR(OR(SUBSTITUTE(SUBSTITUTE(_xlfn.FORMULATEXT(_xlpm.x), " ",""),"$","") = "=E17:E27*B26+B25",SUBSTITUTE(SUBSTITUTE(_xlfn.FORMULATEXT(_xlpm.x), " ",""),"$","") = "=B25+E17:E27*B26",SUBSTITUTE(SUBSTITUTE(_xlfn.FORMULATEXT(_xlpm.x), " ",""),"$","") = "=B25+B26*E17:E27",SUBSTITUTE(SUBSTITUTE(_xlfn.FORMULATEXT(_xlpm.x), " ",""),"$","") = "=B26*E17:E27+B25"), FALSE)))</definedName>
  </definedNames>
  <calcPr calcId="191028" iterate="1"/>
  <customWorkbookViews>
    <customWorkbookView name="Richard Ketchersid - Personal View" guid="{1E6EB3EC-58F4-42D5-9462-6EAD6EC3491E}" mergeInterval="0" personalView="1" xWindow="61" yWindow="61" windowWidth="1733" windowHeight="952"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6" l="1"/>
  <c r="F9" i="1"/>
  <c r="E9" i="1"/>
  <c r="J13" i="5"/>
  <c r="J14" i="5"/>
  <c r="J15" i="5"/>
  <c r="J16" i="5"/>
  <c r="J17" i="5"/>
  <c r="J18" i="5"/>
  <c r="J19" i="5"/>
  <c r="J20" i="5"/>
  <c r="J21" i="5"/>
  <c r="J22" i="5"/>
  <c r="J12" i="5"/>
  <c r="B7" i="2"/>
  <c r="B8" i="2"/>
  <c r="B9" i="2"/>
  <c r="B10" i="2"/>
  <c r="B6" i="2"/>
  <c r="I10" i="5"/>
  <c r="I6" i="5"/>
  <c r="I9" i="5"/>
  <c r="J6" i="5"/>
  <c r="I8" i="5"/>
  <c r="I7" i="5"/>
  <c r="C7" i="2" l="1"/>
  <c r="C9" i="2"/>
  <c r="D9" i="2" s="1"/>
  <c r="C6" i="2"/>
  <c r="C8" i="2"/>
  <c r="D8" i="2" s="1"/>
  <c r="C10" i="2"/>
  <c r="D10" i="2" s="1"/>
  <c r="D7" i="2" l="1"/>
  <c r="D6" i="2"/>
  <c r="E7" i="2"/>
  <c r="E9" i="2"/>
  <c r="E10" i="2"/>
  <c r="E8" i="2"/>
  <c r="E6" i="2"/>
  <c r="B11" i="2" l="1"/>
  <c r="B12" i="2" s="1"/>
  <c r="B13" i="2" l="1"/>
  <c r="D12" i="2"/>
  <c r="C12" i="2"/>
  <c r="E12" i="2" l="1"/>
  <c r="B14" i="2"/>
  <c r="D13" i="2"/>
  <c r="C13" i="2" l="1"/>
  <c r="E13" i="2" s="1"/>
  <c r="H20" i="2" s="1"/>
  <c r="B15" i="2"/>
  <c r="D14" i="2"/>
  <c r="I20" i="2" l="1"/>
  <c r="B16" i="2"/>
  <c r="D15" i="2"/>
  <c r="C14" i="2"/>
  <c r="E14" i="2" s="1"/>
  <c r="B17" i="1" l="1"/>
  <c r="C17" i="1" s="1"/>
  <c r="H21" i="2"/>
  <c r="I21" i="2" s="1"/>
  <c r="B18" i="1" s="1"/>
  <c r="C18" i="1" s="1"/>
  <c r="C15" i="2"/>
  <c r="E15" i="2" s="1"/>
  <c r="H22" i="2" s="1"/>
  <c r="B17" i="2"/>
  <c r="D16" i="2"/>
  <c r="B12" i="5" l="1"/>
  <c r="C13" i="5"/>
  <c r="B13" i="5"/>
  <c r="I22" i="2"/>
  <c r="B19" i="1" s="1"/>
  <c r="C19" i="1" s="1"/>
  <c r="C16" i="2"/>
  <c r="E16" i="2" s="1"/>
  <c r="B18" i="2"/>
  <c r="D17" i="2"/>
  <c r="C12" i="5" l="1"/>
  <c r="B14" i="5"/>
  <c r="H23" i="2"/>
  <c r="I23" i="2" s="1"/>
  <c r="B20" i="1" s="1"/>
  <c r="C20" i="1" s="1"/>
  <c r="C17" i="2"/>
  <c r="E17" i="2" s="1"/>
  <c r="H24" i="2" s="1"/>
  <c r="B19" i="2"/>
  <c r="D18" i="2"/>
  <c r="C15" i="5" l="1"/>
  <c r="C14" i="5"/>
  <c r="B15" i="5"/>
  <c r="I24" i="2"/>
  <c r="B21" i="1" s="1"/>
  <c r="C21" i="1" s="1"/>
  <c r="C18" i="2"/>
  <c r="E18" i="2" s="1"/>
  <c r="H25" i="2" s="1"/>
  <c r="B20" i="2"/>
  <c r="D19" i="2"/>
  <c r="C16" i="5" l="1"/>
  <c r="B16" i="5"/>
  <c r="I25" i="2"/>
  <c r="B22" i="1" s="1"/>
  <c r="C22" i="1" s="1"/>
  <c r="C19" i="2"/>
  <c r="E19" i="2" s="1"/>
  <c r="H26" i="2" s="1"/>
  <c r="B21" i="2"/>
  <c r="D20" i="2"/>
  <c r="E17" i="1" l="1"/>
  <c r="E18" i="1" s="1"/>
  <c r="B17" i="5"/>
  <c r="C20" i="2"/>
  <c r="E20" i="2" s="1"/>
  <c r="H27" i="2" s="1"/>
  <c r="B22" i="2"/>
  <c r="D21" i="2"/>
  <c r="E19" i="1" l="1"/>
  <c r="C20" i="5"/>
  <c r="C17" i="5"/>
  <c r="E12" i="5"/>
  <c r="I26" i="2"/>
  <c r="C21" i="2"/>
  <c r="E21" i="2" s="1"/>
  <c r="H28" i="2" s="1"/>
  <c r="B23" i="2"/>
  <c r="D22" i="2"/>
  <c r="E20" i="1" l="1"/>
  <c r="B21" i="5"/>
  <c r="B20" i="5"/>
  <c r="E13" i="5"/>
  <c r="I27" i="2"/>
  <c r="C21" i="5"/>
  <c r="C22" i="2"/>
  <c r="E22" i="2" s="1"/>
  <c r="H29" i="2" s="1"/>
  <c r="B24" i="2"/>
  <c r="D23" i="2"/>
  <c r="E21" i="1" l="1"/>
  <c r="F12" i="5"/>
  <c r="F13" i="5"/>
  <c r="E14" i="5"/>
  <c r="F14" i="5" s="1"/>
  <c r="I29" i="2"/>
  <c r="I28" i="2"/>
  <c r="C23" i="2"/>
  <c r="E23" i="2" s="1"/>
  <c r="B25" i="2"/>
  <c r="D24" i="2"/>
  <c r="E22" i="1" l="1"/>
  <c r="E15" i="5"/>
  <c r="F15" i="5" s="1"/>
  <c r="B26" i="2"/>
  <c r="D25" i="2"/>
  <c r="C24" i="2"/>
  <c r="E24" i="2" s="1"/>
  <c r="E23" i="1" l="1"/>
  <c r="E16" i="5"/>
  <c r="F16" i="5" s="1"/>
  <c r="C25" i="2"/>
  <c r="E25" i="2" s="1"/>
  <c r="B27" i="2"/>
  <c r="D26" i="2"/>
  <c r="E24" i="1" l="1"/>
  <c r="E17" i="5"/>
  <c r="F17" i="5" s="1"/>
  <c r="C26" i="2"/>
  <c r="E26" i="2" s="1"/>
  <c r="B28" i="2"/>
  <c r="D27" i="2"/>
  <c r="E25" i="1" l="1"/>
  <c r="E18" i="5"/>
  <c r="F18" i="5" s="1"/>
  <c r="C27" i="2"/>
  <c r="E27" i="2" s="1"/>
  <c r="B29" i="2"/>
  <c r="D28" i="2"/>
  <c r="E26" i="1" l="1"/>
  <c r="E19" i="5"/>
  <c r="F19" i="5" s="1"/>
  <c r="C28" i="2"/>
  <c r="E28" i="2" s="1"/>
  <c r="B30" i="2"/>
  <c r="D29" i="2"/>
  <c r="E27" i="1" l="1"/>
  <c r="E20" i="5"/>
  <c r="F20" i="5" s="1"/>
  <c r="C29" i="2"/>
  <c r="E29" i="2" s="1"/>
  <c r="B31" i="2"/>
  <c r="D30" i="2"/>
  <c r="H13" i="5" l="1"/>
  <c r="E21" i="5"/>
  <c r="F21" i="5" s="1"/>
  <c r="H26" i="1"/>
  <c r="C30" i="2"/>
  <c r="E30" i="2" s="1"/>
  <c r="B32" i="2"/>
  <c r="D31" i="2"/>
  <c r="H12" i="5" a="1"/>
  <c r="H12" i="5" l="1"/>
  <c r="K12" i="5"/>
  <c r="K15" i="5"/>
  <c r="K14" i="5"/>
  <c r="H14" i="5"/>
  <c r="K13" i="5"/>
  <c r="H15" i="5"/>
  <c r="H16" i="5"/>
  <c r="K16" i="5"/>
  <c r="H17" i="5"/>
  <c r="K17" i="5"/>
  <c r="K18" i="5"/>
  <c r="H18" i="5"/>
  <c r="H19" i="5"/>
  <c r="K19" i="5"/>
  <c r="H20" i="5"/>
  <c r="K20" i="5"/>
  <c r="K21" i="5"/>
  <c r="H21" i="5"/>
  <c r="E22" i="5"/>
  <c r="F22" i="5" s="1"/>
  <c r="B33" i="2"/>
  <c r="D33" i="2" s="1"/>
  <c r="D32" i="2"/>
  <c r="C31" i="2"/>
  <c r="E31" i="2" s="1"/>
  <c r="H22" i="5" l="1"/>
  <c r="H23" i="5" s="1"/>
  <c r="K22" i="5"/>
  <c r="C33" i="2"/>
  <c r="E33" i="2" s="1"/>
  <c r="C32" i="2"/>
  <c r="E32" i="2" s="1"/>
  <c r="I12" i="5" l="1"/>
  <c r="G12" i="5" s="1"/>
  <c r="I13" i="5"/>
  <c r="G13" i="5" s="1"/>
  <c r="I16" i="5"/>
  <c r="G16" i="5" s="1"/>
  <c r="I17" i="5"/>
  <c r="G17" i="5" s="1"/>
  <c r="I19" i="5"/>
  <c r="G19" i="5" s="1"/>
  <c r="I23" i="5"/>
  <c r="I14" i="5"/>
  <c r="G14" i="5" s="1"/>
  <c r="I15" i="5"/>
  <c r="G15" i="5" s="1"/>
  <c r="I18" i="5"/>
  <c r="G18" i="5" s="1"/>
  <c r="I20" i="5"/>
  <c r="G20" i="5" s="1"/>
  <c r="I22" i="5"/>
  <c r="G22" i="5" s="1"/>
  <c r="I21" i="5"/>
  <c r="G21" i="5" s="1"/>
  <c r="F1" i="6" l="1"/>
  <c r="M1" i="6"/>
  <c r="A2" i="6"/>
  <c r="A3" i="6"/>
  <c r="A4" i="6"/>
  <c r="A5" i="6"/>
  <c r="A6" i="6"/>
  <c r="A7" i="6"/>
  <c r="A8" i="6"/>
  <c r="A9" i="6"/>
  <c r="A10" i="6"/>
  <c r="A11" i="6"/>
  <c r="A12" i="6"/>
  <c r="A13" i="6"/>
  <c r="A14" i="6"/>
  <c r="A15" i="6"/>
  <c r="A16" i="6"/>
  <c r="A17" i="6"/>
  <c r="A18" i="6"/>
  <c r="A19" i="6"/>
  <c r="A20" i="6"/>
  <c r="A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tc={BC060AFA-39C1-44A6-A9ED-0E8A9C142FF5}</author>
    <author>tc={F37EA718-B0ED-4ADE-A2DB-AD85E9256E58}</author>
    <author>tc={E9BFACFB-8854-44EA-9A2A-E08DC1CB4A30}</author>
    <author>tc={B580BE12-F9C1-42C1-B07D-8DBA81107F12}</author>
  </authors>
  <commentList>
    <comment ref="C2" authorId="0" shapeId="0" xr:uid="{BC060AFA-39C1-44A6-A9ED-0E8A9C142FF5}">
      <text>
        <t>[Threaded comment]
Your version of Excel allows you to read this threaded comment; however, any edits to it will get removed if the file is opened in a newer version of Excel. Learn more: https://go.microsoft.com/fwlink/?linkid=870924
Comment:
    https://www.loom.com/share/fc444b5c3f9c4a248a148f1f65b6f4c9?sid=0ff7d3af-65cb-4d1e-bbd9-0ff57e8b91f0</t>
      </text>
    </comment>
    <comment ref="I2" authorId="1" shapeId="0" xr:uid="{F37EA718-B0ED-4ADE-A2DB-AD85E9256E58}">
      <text>
        <t>[Threaded comment]
Your version of Excel allows you to read this threaded comment; however, any edits to it will get removed if the file is opened in a newer version of Excel. Learn more: https://go.microsoft.com/fwlink/?linkid=870924
Comment:
    https://www.loom.com/share/4e999e54029a43d8b7b58d21e26817f7?sid=a1a57bba-9bd0-4ab2-994a-0c2b2c65ef01</t>
      </text>
    </comment>
    <comment ref="C5" authorId="2" shapeId="0" xr:uid="{E9BFACFB-8854-44EA-9A2A-E08DC1CB4A30}">
      <text>
        <t>[Threaded comment]
Your version of Excel allows you to read this threaded comment; however, any edits to it will get removed if the file is opened in a newer version of Excel. Learn more: https://go.microsoft.com/fwlink/?linkid=870924
Comment:
    https://youtu.be/F4t2iY8rNVI?si=5lZh2IiOO883K12M</t>
      </text>
    </comment>
    <comment ref="I5" authorId="3" shapeId="0" xr:uid="{B580BE12-F9C1-42C1-B07D-8DBA81107F12}">
      <text>
        <t>[Threaded comment]
Your version of Excel allows you to read this threaded comment; however, any edits to it will get removed if the file is opened in a newer version of Excel. Learn more: https://go.microsoft.com/fwlink/?linkid=870924
Comment:
    https://www.loom.com/share/7475cd73cfcf47f884d86c351a977716?sid=2182524d-6ccc-44ad-993e-a1e541e670c8</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<sst xmlns="http://schemas.openxmlformats.org/spreadsheetml/2006/main" count="93" uniqueCount="84">
  <si>
    <t>Excel Skills Learned</t>
  </si>
  <si>
    <r>
      <rPr>
        <b/>
        <sz val="11"/>
        <color theme="1"/>
        <rFont val="Calibri"/>
        <family val="2"/>
        <scheme val="minor"/>
      </rPr>
      <t>Instructions</t>
    </r>
    <r>
      <rPr>
        <sz val="11"/>
        <color theme="1"/>
        <rFont val="Calibri"/>
        <family val="2"/>
        <scheme val="minor"/>
      </rPr>
      <t>: Open the tab labeled "Linear Fit" and complete the tasks indicated there. Start by entering your name where indicated. Pay attention to the legend and note that the sheet is self-checking.</t>
    </r>
  </si>
  <si>
    <t>Upon completing the sheet, you should have an understanding of:</t>
  </si>
  <si>
    <t>1. How to add a scatter plot of data.</t>
  </si>
  <si>
    <t>2. How to add a trendline to the scatter plot, extend the trendline as needed, and add the equation of the trendline.</t>
  </si>
  <si>
    <t>4. How to use =SLOPE() and =INTERCEPT() to find the equation for a linear trendline.</t>
  </si>
  <si>
    <t>Math Skills Learned</t>
  </si>
  <si>
    <t>1. How to use a tend line to predict values not provided in the data.</t>
  </si>
  <si>
    <t>2. How to read values off of a graph.</t>
  </si>
  <si>
    <t>Video for this.</t>
  </si>
  <si>
    <t>Legend</t>
  </si>
  <si>
    <t>Enter your name with at lease 5 letters ⇒</t>
  </si>
  <si>
    <t>Your Name</t>
  </si>
  <si>
    <t>If a cell is shaded</t>
  </si>
  <si>
    <t>Cell Should Contain</t>
  </si>
  <si>
    <t>Blue</t>
  </si>
  <si>
    <t>Text</t>
  </si>
  <si>
    <t>- Find the slope and intercept of the best fit line, using =slope(distance, speed) and =intercept(distance, speed)
- Write the equation of the line.
- Fill in the predicted values.</t>
  </si>
  <si>
    <t>Green</t>
  </si>
  <si>
    <t>Number</t>
  </si>
  <si>
    <t>Gold</t>
  </si>
  <si>
    <t>Excel Formula</t>
  </si>
  <si>
    <t>Any other color</t>
  </si>
  <si>
    <t>Make no changes</t>
  </si>
  <si>
    <t>Stopping distance</t>
  </si>
  <si>
    <t>Predicted Values</t>
  </si>
  <si>
    <t>speed (m/s)</t>
  </si>
  <si>
    <t>distance (m)</t>
  </si>
  <si>
    <r>
      <t xml:space="preserve">Put your scatter plot here. Make sure to </t>
    </r>
    <r>
      <rPr>
        <b/>
        <sz val="11"/>
        <color theme="1"/>
        <rFont val="Calibri"/>
        <family val="2"/>
        <scheme val="minor"/>
      </rPr>
      <t>add and set the axis titles</t>
    </r>
    <r>
      <rPr>
        <sz val="11"/>
        <color theme="1"/>
        <rFont val="Calibri"/>
        <family val="2"/>
        <scheme val="minor"/>
      </rPr>
      <t xml:space="preserve"> and </t>
    </r>
    <r>
      <rPr>
        <b/>
        <sz val="11"/>
        <color theme="1"/>
        <rFont val="Calibri"/>
        <family val="2"/>
        <scheme val="minor"/>
      </rPr>
      <t>set the chart title</t>
    </r>
    <r>
      <rPr>
        <sz val="11"/>
        <color theme="1"/>
        <rFont val="Calibri"/>
        <family val="2"/>
        <scheme val="minor"/>
      </rPr>
      <t>. Also, make sure to restrict the domain and range so that the graph fills the space and is easy to read.</t>
    </r>
  </si>
  <si>
    <t>Fit Parameters</t>
  </si>
  <si>
    <t>Intercept (b)</t>
  </si>
  <si>
    <t>Slope (m)</t>
  </si>
  <si>
    <t>Equation</t>
  </si>
  <si>
    <t>Format to two decimal places.</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</si>
  <si>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</si>
  <si>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</si>
  <si>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</si>
  <si>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</si>
  <si>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</si>
  <si>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</si>
  <si>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</si>
  <si>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</si>
  <si>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</si>
  <si>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</si>
  <si>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</si>
  <si>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</si>
  <si>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</si>
  <si>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</si>
  <si>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</si>
  <si>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</si>
  <si>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</si>
  <si>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</si>
  <si>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</si>
  <si>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</si>
  <si>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</si>
  <si>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</si>
  <si>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</si>
  <si>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Ignore the Halo preview you must download and open the file in Excel to correctly see the contents.</t>
  </si>
  <si>
    <t>A formula was used, but the value is incorrect.</t>
  </si>
  <si>
    <t>A formula should have been used, and the value is incorrect.</t>
  </si>
  <si>
    <t>A formula should have been used, but the value is correct.</t>
  </si>
  <si>
    <t>A formula was used, and the value is correct.</t>
  </si>
  <si>
    <t>3. How to correctly interpret the slope and y-intercept of a line for a specific application.</t>
  </si>
  <si>
    <t>Enter your name with at least 5 letters ⇒</t>
  </si>
  <si>
    <t>Video on #SPILL! Error</t>
  </si>
  <si>
    <t>Scatter plot with online Excel</t>
  </si>
  <si>
    <t>- Insert a scatter plot for the data B17:C22
- Add a linear trendline and extend to include all of the predicted values.</t>
  </si>
  <si>
    <t>Round your slope and intercept to two places.</t>
  </si>
  <si>
    <t>Format as "Number" to two decimal places.</t>
  </si>
  <si>
    <t>Format as "Number" with two decimals.</t>
  </si>
  <si>
    <t>For every 1 m/s increase in speed, there is a</t>
  </si>
  <si>
    <t>m increase in stopping distance.</t>
  </si>
  <si>
    <t>If the speed is 0 m/s, the stopping distance is predicted to be</t>
  </si>
  <si>
    <t>m.</t>
  </si>
  <si>
    <t>does</t>
  </si>
  <si>
    <t>does not</t>
  </si>
  <si>
    <t>Complete the following two sentences.</t>
  </si>
  <si>
    <t>(s)peed (m/s)</t>
  </si>
  <si>
    <t>(d)istance (m)</t>
  </si>
  <si>
    <t>Equation in s and d</t>
  </si>
  <si>
    <t>Video on Autofill</t>
  </si>
  <si>
    <t>Video for this DQ</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</si>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</sst>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rgb="FFFF0000"/>
      <name val="Calibri"/>
      <family val="2"/>
      <scheme val="minor"/>
    </font>
    <font>
      <u/>
      <sz val="11"/>
      <color theme="10"/>
      <name val="Calibri"/>
      <family val="2"/>
      <scheme val="minor"/>
    </font>
    <font>
      <sz val="11"/>
      <color theme="1"/>
      <name val="Comic Sans MS"/>
      <family val="4"/>
    </font>
    <font>
      <b/>
      <sz val="14"/>
      <color theme="1"/>
      <name val="Calibri"/>
      <family val="2"/>
      <scheme val="minor"/>
    </font>
    <font>
      <b/>
      <sz val="11"/>
      <color theme="1"/>
      <name val="Calibri"/>
      <family val="2"/>
      <scheme val="minor"/>
    </font>
    <font>
      <b/>
      <sz val="11"/>
      <color theme="0" tint="-4.9989318521683403E-2"/>
      <name val="Bradley Hand ITC"/>
      <family val="4"/>
    </font>
    <font>
      <b/>
      <u/>
      <sz val="14"/>
      <color theme="10"/>
      <name val="Calibri"/>
      <family val="2"/>
      <scheme val="minor"/>
    </font>
    <font>
      <b/>
      <sz val="11"/>
      <color rgb="FF00B050"/>
      <name val="Calibri"/>
      <family val="2"/>
      <scheme val="minor"/>
    </font>
    <font>
      <sz val="11"/>
      <color theme="0"/>
      <name val="Calibri"/>
      <family val="2"/>
      <scheme val="minor"/>
    </font>
    <font>
      <b/>
      <sz val="18"/>
      <color theme="10"/>
      <name val="Calibri"/>
      <family val="2"/>
      <scheme val="minor"/>
    </font>
    <font>
      <sz val="10"/>
      <color theme="0"/>
      <name val="Arial Unicode MS"/>
    </font>
    <font>
      <sz val="11"/>
      <color theme="0" tint="-4.9989318521683403E-2"/>
      <name val="Baguet Script"/>
    </font>
  </fonts>
  <fills count="10">
    <fill>
      <patternFill patternType="none"/>
    </fill>
    <fill>
      <patternFill patternType="gray125"/>
    </fill>
    <fill>
      <patternFill patternType="solid">
        <fgColor theme="7"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3">
    <xf numFmtId="0" fontId="0" fillId="0" borderId="0" xfId="0"/>
    <xf numFmtId="0" fontId="0" fillId="2" borderId="12" xfId="0" applyFill="1" applyBorder="1" applyProtection="1">
      <protection locked="0"/>
    </xf>
    <xf numFmtId="0" fontId="0" fillId="3" borderId="5" xfId="0" applyFill="1" applyBorder="1" applyProtection="1">
      <protection hidden="1"/>
    </xf>
    <xf numFmtId="0" fontId="0" fillId="3" borderId="3" xfId="0" applyFill="1" applyBorder="1" applyProtection="1">
      <protection hidden="1"/>
    </xf>
    <xf numFmtId="0" fontId="0" fillId="3" borderId="24" xfId="0" applyFill="1" applyBorder="1" applyProtection="1">
      <protection hidden="1"/>
    </xf>
    <xf numFmtId="2" fontId="0" fillId="3" borderId="25" xfId="0" applyNumberFormat="1" applyFill="1" applyBorder="1" applyProtection="1">
      <protection hidden="1"/>
    </xf>
    <xf numFmtId="0" fontId="5" fillId="3" borderId="21"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0" fillId="0" borderId="0" xfId="0" applyAlignment="1">
      <alignment wrapText="1"/>
    </xf>
    <xf numFmtId="0" fontId="0" fillId="2" borderId="11" xfId="0" applyFill="1" applyBorder="1" applyProtection="1">
      <protection locked="0"/>
    </xf>
    <xf numFmtId="0" fontId="9" fillId="0" borderId="0" xfId="0" applyFont="1" applyProtection="1">
      <protection hidden="1"/>
    </xf>
    <xf numFmtId="0" fontId="5" fillId="0" borderId="0" xfId="0" applyFont="1" applyAlignment="1" applyProtection="1">
      <alignment horizontal="center"/>
      <protection hidden="1"/>
    </xf>
    <xf numFmtId="0" fontId="0" fillId="9" borderId="0" xfId="0" applyFill="1"/>
    <xf numFmtId="0" fontId="6" fillId="9" borderId="21" xfId="0" applyFont="1" applyFill="1" applyBorder="1" applyAlignment="1" applyProtection="1">
      <alignment horizontal="center"/>
      <protection locked="0"/>
    </xf>
    <xf numFmtId="0" fontId="3" fillId="9" borderId="0" xfId="0" applyFont="1" applyFill="1"/>
    <xf numFmtId="0" fontId="5" fillId="9" borderId="0" xfId="0" applyFont="1" applyFill="1"/>
    <xf numFmtId="0" fontId="0" fillId="9" borderId="0" xfId="0" applyFill="1" applyAlignment="1">
      <alignment vertical="center"/>
    </xf>
    <xf numFmtId="0" fontId="0" fillId="9" borderId="5" xfId="0" applyFill="1" applyBorder="1" applyAlignment="1">
      <alignment horizontal="center"/>
    </xf>
    <xf numFmtId="0" fontId="0" fillId="9" borderId="6" xfId="0" applyFill="1" applyBorder="1" applyAlignment="1">
      <alignment horizontal="center"/>
    </xf>
    <xf numFmtId="0" fontId="0" fillId="9" borderId="0" xfId="0" applyFill="1" applyAlignment="1">
      <alignment horizontal="center" vertical="center"/>
    </xf>
    <xf numFmtId="0" fontId="0" fillId="9" borderId="24" xfId="0" applyFill="1" applyBorder="1" applyProtection="1">
      <protection hidden="1"/>
    </xf>
    <xf numFmtId="2" fontId="0" fillId="9" borderId="25" xfId="0" applyNumberFormat="1" applyFill="1" applyBorder="1" applyProtection="1">
      <protection hidden="1"/>
    </xf>
    <xf numFmtId="0" fontId="0" fillId="9" borderId="5" xfId="0" applyFill="1" applyBorder="1"/>
    <xf numFmtId="2" fontId="0" fillId="9" borderId="6" xfId="0" applyNumberFormat="1" applyFill="1" applyBorder="1" applyAlignment="1">
      <alignment horizontal="center"/>
    </xf>
    <xf numFmtId="0" fontId="0" fillId="9" borderId="5" xfId="0" applyFill="1" applyBorder="1" applyProtection="1">
      <protection hidden="1"/>
    </xf>
    <xf numFmtId="0" fontId="0" fillId="9" borderId="3" xfId="0" applyFill="1" applyBorder="1" applyProtection="1">
      <protection hidden="1"/>
    </xf>
    <xf numFmtId="0" fontId="0" fillId="9" borderId="11" xfId="0" applyFill="1" applyBorder="1" applyProtection="1">
      <protection locked="0"/>
    </xf>
    <xf numFmtId="0" fontId="0" fillId="9" borderId="12" xfId="0" applyFill="1" applyBorder="1" applyProtection="1">
      <protection locked="0"/>
    </xf>
    <xf numFmtId="0" fontId="0" fillId="9" borderId="3" xfId="0" applyFill="1" applyBorder="1"/>
    <xf numFmtId="0" fontId="0" fillId="2" borderId="6" xfId="0" applyFill="1" applyBorder="1" applyAlignment="1" applyProtection="1">
      <alignment horizontal="center"/>
      <protection locked="0"/>
    </xf>
    <xf numFmtId="0" fontId="0" fillId="9" borderId="0" xfId="0" applyFill="1" applyAlignment="1">
      <alignment wrapText="1"/>
    </xf>
    <xf numFmtId="0" fontId="0" fillId="7" borderId="21" xfId="0" applyFill="1" applyBorder="1" applyProtection="1">
      <protection locked="0"/>
    </xf>
    <xf numFmtId="0" fontId="0" fillId="7" borderId="21" xfId="0" applyFill="1" applyBorder="1" applyAlignment="1" applyProtection="1">
      <alignment vertical="center"/>
      <protection locked="0"/>
    </xf>
    <xf numFmtId="0" fontId="0" fillId="0" borderId="0" xfId="0" applyProtection="1">
      <protection hidden="1"/>
    </xf>
    <xf numFmtId="0" fontId="0" fillId="4" borderId="5" xfId="0" applyFill="1" applyBorder="1" applyAlignment="1" applyProtection="1">
      <alignment horizontal="center" vertical="center"/>
      <protection hidden="1"/>
    </xf>
    <xf numFmtId="0" fontId="0" fillId="4" borderId="6" xfId="0" applyFill="1" applyBorder="1" applyAlignment="1" applyProtection="1">
      <alignment horizontal="center" vertical="center"/>
      <protection hidden="1"/>
    </xf>
    <xf numFmtId="0" fontId="0" fillId="5" borderId="5" xfId="0"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6" borderId="5" xfId="0" applyFill="1" applyBorder="1" applyAlignment="1" applyProtection="1">
      <alignment horizontal="center" vertical="center"/>
      <protection hidden="1"/>
    </xf>
    <xf numFmtId="0" fontId="0" fillId="2" borderId="5" xfId="0" applyFill="1" applyBorder="1" applyAlignment="1" applyProtection="1">
      <alignment horizontal="center" vertical="center"/>
      <protection hidden="1"/>
    </xf>
    <xf numFmtId="0" fontId="0" fillId="0" borderId="3"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2" borderId="1" xfId="0" applyFill="1" applyBorder="1" applyAlignment="1" applyProtection="1">
      <alignment horizontal="center"/>
      <protection hidden="1"/>
    </xf>
    <xf numFmtId="0" fontId="0" fillId="8" borderId="5" xfId="0" applyFill="1" applyBorder="1" applyAlignment="1" applyProtection="1">
      <alignment horizontal="center"/>
      <protection hidden="1"/>
    </xf>
    <xf numFmtId="0" fontId="0" fillId="0" borderId="0" xfId="0" applyAlignment="1" applyProtection="1">
      <alignment vertical="center"/>
      <protection hidden="1"/>
    </xf>
    <xf numFmtId="0" fontId="8" fillId="8" borderId="5" xfId="0" applyFont="1" applyFill="1" applyBorder="1" applyAlignment="1" applyProtection="1">
      <alignment horizontal="center"/>
      <protection hidden="1"/>
    </xf>
    <xf numFmtId="0" fontId="0" fillId="0" borderId="0" xfId="0"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5" fillId="0" borderId="0" xfId="0" applyFont="1" applyProtection="1">
      <protection hidden="1"/>
    </xf>
    <xf numFmtId="0" fontId="5" fillId="3" borderId="5" xfId="0" applyFont="1" applyFill="1" applyBorder="1" applyAlignment="1" applyProtection="1">
      <alignment horizontal="center"/>
      <protection hidden="1"/>
    </xf>
    <xf numFmtId="0" fontId="5" fillId="3" borderId="6" xfId="0" applyFont="1" applyFill="1" applyBorder="1" applyAlignment="1" applyProtection="1">
      <alignment horizontal="center"/>
      <protection hidden="1"/>
    </xf>
    <xf numFmtId="0" fontId="0" fillId="3" borderId="7" xfId="0" applyFill="1" applyBorder="1" applyProtection="1">
      <protection hidden="1"/>
    </xf>
    <xf numFmtId="0" fontId="0" fillId="3" borderId="8" xfId="0" applyFill="1" applyBorder="1" applyProtection="1">
      <protection hidden="1"/>
    </xf>
    <xf numFmtId="0" fontId="0" fillId="3" borderId="21" xfId="0" applyFill="1" applyBorder="1" applyAlignment="1" applyProtection="1">
      <alignment horizontal="left" vertical="center"/>
      <protection hidden="1"/>
    </xf>
    <xf numFmtId="0" fontId="12" fillId="5" borderId="21" xfId="0" applyFont="1" applyFill="1" applyBorder="1" applyAlignment="1" applyProtection="1">
      <alignment horizontal="center"/>
      <protection locked="0"/>
    </xf>
    <xf numFmtId="0" fontId="9" fillId="9" borderId="0" xfId="0" applyFont="1" applyFill="1"/>
    <xf numFmtId="0" fontId="11" fillId="9" borderId="0" xfId="0" applyFont="1" applyFill="1" applyAlignment="1">
      <alignment vertical="center"/>
    </xf>
    <xf numFmtId="0" fontId="0" fillId="0" borderId="0" xfId="0" applyAlignment="1">
      <alignment horizontal="center"/>
    </xf>
    <xf numFmtId="0" fontId="0" fillId="0" borderId="0" xfId="0" applyAlignment="1" applyProtection="1">
      <alignment horizontal="center"/>
      <protection locked="0"/>
    </xf>
    <xf numFmtId="0" fontId="0" fillId="3" borderId="13" xfId="0" applyFill="1" applyBorder="1" applyAlignment="1">
      <alignment horizontal="left" vertical="center" wrapText="1" indent="1"/>
    </xf>
    <xf numFmtId="0" fontId="0" fillId="3" borderId="15" xfId="0" applyFill="1" applyBorder="1" applyAlignment="1">
      <alignment horizontal="left" vertical="center" wrapText="1" indent="1"/>
    </xf>
    <xf numFmtId="0" fontId="0" fillId="3" borderId="14" xfId="0" applyFill="1" applyBorder="1" applyAlignment="1">
      <alignment horizontal="left" vertical="center" wrapText="1" indent="1"/>
    </xf>
    <xf numFmtId="0" fontId="0" fillId="3" borderId="16" xfId="0" applyFill="1" applyBorder="1" applyAlignment="1">
      <alignment horizontal="left" vertical="center" wrapText="1" indent="1"/>
    </xf>
    <xf numFmtId="0" fontId="0" fillId="3" borderId="0" xfId="0" applyFill="1" applyAlignment="1">
      <alignment horizontal="left" vertical="center" wrapText="1" indent="1"/>
    </xf>
    <xf numFmtId="0" fontId="0" fillId="3" borderId="17" xfId="0" applyFill="1" applyBorder="1" applyAlignment="1">
      <alignment horizontal="left" vertical="center" wrapText="1" indent="1"/>
    </xf>
    <xf numFmtId="0" fontId="0" fillId="3" borderId="18" xfId="0" applyFill="1" applyBorder="1" applyAlignment="1">
      <alignment horizontal="left" vertical="center" wrapText="1" indent="1"/>
    </xf>
    <xf numFmtId="0" fontId="0" fillId="3" borderId="19" xfId="0" applyFill="1" applyBorder="1" applyAlignment="1">
      <alignment horizontal="left" vertical="center" wrapText="1" indent="1"/>
    </xf>
    <xf numFmtId="0" fontId="0" fillId="3" borderId="20" xfId="0" applyFill="1" applyBorder="1" applyAlignment="1">
      <alignment horizontal="left" vertical="center" wrapText="1" indent="1"/>
    </xf>
    <xf numFmtId="0" fontId="0" fillId="3" borderId="22" xfId="0" applyFill="1" applyBorder="1" applyAlignment="1" applyProtection="1">
      <alignment horizontal="left" vertical="center"/>
      <protection hidden="1"/>
    </xf>
    <xf numFmtId="0" fontId="0" fillId="3" borderId="10" xfId="0" applyFill="1" applyBorder="1" applyAlignment="1" applyProtection="1">
      <alignment horizontal="left" vertical="center"/>
      <protection hidden="1"/>
    </xf>
    <xf numFmtId="0" fontId="0" fillId="3" borderId="9" xfId="0" applyFill="1" applyBorder="1" applyAlignment="1" applyProtection="1">
      <alignment horizontal="center" vertical="center"/>
      <protection hidden="1"/>
    </xf>
    <xf numFmtId="0" fontId="0" fillId="3" borderId="22"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0" fillId="3" borderId="13" xfId="0" applyFill="1" applyBorder="1" applyAlignment="1" applyProtection="1">
      <alignment horizontal="center" vertical="center"/>
      <protection hidden="1"/>
    </xf>
    <xf numFmtId="0" fontId="0" fillId="3" borderId="14" xfId="0" applyFill="1" applyBorder="1" applyAlignment="1" applyProtection="1">
      <alignment horizontal="center" vertical="center"/>
      <protection hidden="1"/>
    </xf>
    <xf numFmtId="0" fontId="0" fillId="0" borderId="13" xfId="0" applyBorder="1" applyAlignment="1" applyProtection="1">
      <alignment horizontal="left" vertical="center" wrapText="1" indent="1"/>
      <protection hidden="1"/>
    </xf>
    <xf numFmtId="0" fontId="0" fillId="0" borderId="15" xfId="0" applyBorder="1" applyAlignment="1" applyProtection="1">
      <alignment horizontal="left" vertical="center" wrapText="1" indent="1"/>
      <protection hidden="1"/>
    </xf>
    <xf numFmtId="0" fontId="0" fillId="0" borderId="14" xfId="0" applyBorder="1" applyAlignment="1" applyProtection="1">
      <alignment horizontal="left" vertical="center" wrapText="1" indent="1"/>
      <protection hidden="1"/>
    </xf>
    <xf numFmtId="0" fontId="0" fillId="0" borderId="16" xfId="0" applyBorder="1" applyAlignment="1" applyProtection="1">
      <alignment horizontal="left" vertical="center" wrapText="1" indent="1"/>
      <protection hidden="1"/>
    </xf>
    <xf numFmtId="0" fontId="0" fillId="0" borderId="0" xfId="0" applyAlignment="1" applyProtection="1">
      <alignment horizontal="left" vertical="center" wrapText="1" indent="1"/>
      <protection hidden="1"/>
    </xf>
    <xf numFmtId="0" fontId="0" fillId="0" borderId="17" xfId="0" applyBorder="1" applyAlignment="1" applyProtection="1">
      <alignment horizontal="left" vertical="center" wrapText="1" indent="1"/>
      <protection hidden="1"/>
    </xf>
    <xf numFmtId="0" fontId="0" fillId="0" borderId="18" xfId="0" applyBorder="1" applyAlignment="1" applyProtection="1">
      <alignment horizontal="left" vertical="center" wrapText="1" indent="1"/>
      <protection hidden="1"/>
    </xf>
    <xf numFmtId="0" fontId="0" fillId="0" borderId="19" xfId="0" applyBorder="1" applyAlignment="1" applyProtection="1">
      <alignment horizontal="left" vertical="center" wrapText="1" indent="1"/>
      <protection hidden="1"/>
    </xf>
    <xf numFmtId="0" fontId="0" fillId="0" borderId="20" xfId="0" applyBorder="1" applyAlignment="1" applyProtection="1">
      <alignment horizontal="left" vertical="center" wrapText="1" indent="1"/>
      <protection hidden="1"/>
    </xf>
    <xf numFmtId="0" fontId="5" fillId="3" borderId="9" xfId="0" quotePrefix="1" applyFont="1" applyFill="1" applyBorder="1" applyAlignment="1" applyProtection="1">
      <alignment horizontal="left" indent="1"/>
      <protection hidden="1"/>
    </xf>
    <xf numFmtId="0" fontId="5" fillId="3" borderId="22" xfId="0" quotePrefix="1" applyFont="1" applyFill="1" applyBorder="1" applyAlignment="1" applyProtection="1">
      <alignment horizontal="left" indent="1"/>
      <protection hidden="1"/>
    </xf>
    <xf numFmtId="0" fontId="5" fillId="3" borderId="10" xfId="0" quotePrefix="1" applyFont="1" applyFill="1" applyBorder="1" applyAlignment="1" applyProtection="1">
      <alignment horizontal="left" indent="1"/>
      <protection hidden="1"/>
    </xf>
    <xf numFmtId="0" fontId="0" fillId="3" borderId="13" xfId="0" quotePrefix="1" applyFill="1" applyBorder="1" applyAlignment="1" applyProtection="1">
      <alignment horizontal="left" vertical="center" wrapText="1" indent="1"/>
      <protection hidden="1"/>
    </xf>
    <xf numFmtId="0" fontId="0" fillId="3" borderId="15" xfId="0" quotePrefix="1" applyFill="1" applyBorder="1" applyAlignment="1" applyProtection="1">
      <alignment horizontal="left" vertical="center" wrapText="1" indent="1"/>
      <protection hidden="1"/>
    </xf>
    <xf numFmtId="0" fontId="0" fillId="3" borderId="14" xfId="0" quotePrefix="1" applyFill="1" applyBorder="1" applyAlignment="1" applyProtection="1">
      <alignment horizontal="left" vertical="center" wrapText="1" indent="1"/>
      <protection hidden="1"/>
    </xf>
    <xf numFmtId="0" fontId="0" fillId="3" borderId="16" xfId="0" quotePrefix="1" applyFill="1" applyBorder="1" applyAlignment="1" applyProtection="1">
      <alignment horizontal="left" vertical="center" wrapText="1" indent="1"/>
      <protection hidden="1"/>
    </xf>
    <xf numFmtId="0" fontId="0" fillId="3" borderId="0" xfId="0" quotePrefix="1" applyFill="1" applyAlignment="1" applyProtection="1">
      <alignment horizontal="left" vertical="center" wrapText="1" indent="1"/>
      <protection hidden="1"/>
    </xf>
    <xf numFmtId="0" fontId="0" fillId="3" borderId="17" xfId="0" quotePrefix="1" applyFill="1" applyBorder="1" applyAlignment="1" applyProtection="1">
      <alignment horizontal="left" vertical="center" wrapText="1" indent="1"/>
      <protection hidden="1"/>
    </xf>
    <xf numFmtId="0" fontId="0" fillId="3" borderId="18" xfId="0" quotePrefix="1" applyFill="1" applyBorder="1" applyAlignment="1" applyProtection="1">
      <alignment horizontal="left" vertical="center" wrapText="1" indent="1"/>
      <protection hidden="1"/>
    </xf>
    <xf numFmtId="0" fontId="0" fillId="3" borderId="19" xfId="0" quotePrefix="1" applyFill="1" applyBorder="1" applyAlignment="1" applyProtection="1">
      <alignment horizontal="left" vertical="center" wrapText="1" indent="1"/>
      <protection hidden="1"/>
    </xf>
    <xf numFmtId="0" fontId="0" fillId="3" borderId="20" xfId="0" quotePrefix="1" applyFill="1" applyBorder="1" applyAlignment="1" applyProtection="1">
      <alignment horizontal="left" vertical="center" wrapText="1" indent="1"/>
      <protection hidden="1"/>
    </xf>
    <xf numFmtId="0" fontId="0" fillId="0" borderId="27" xfId="0" applyBorder="1" applyAlignment="1" applyProtection="1">
      <alignment horizontal="left" indent="1"/>
      <protection hidden="1"/>
    </xf>
    <xf numFmtId="0" fontId="0" fillId="0" borderId="2" xfId="0" applyBorder="1" applyAlignment="1" applyProtection="1">
      <alignment horizontal="left" indent="1"/>
      <protection hidden="1"/>
    </xf>
    <xf numFmtId="0" fontId="0" fillId="0" borderId="23" xfId="0" applyBorder="1" applyAlignment="1" applyProtection="1">
      <alignment horizontal="left" vertical="center" indent="1"/>
      <protection hidden="1"/>
    </xf>
    <xf numFmtId="0" fontId="0" fillId="0" borderId="6" xfId="0" applyBorder="1" applyAlignment="1" applyProtection="1">
      <alignment horizontal="left" vertical="center" indent="1"/>
      <protection hidden="1"/>
    </xf>
    <xf numFmtId="0" fontId="0" fillId="0" borderId="23" xfId="0" applyBorder="1" applyAlignment="1" applyProtection="1">
      <alignment horizontal="left" indent="1"/>
      <protection hidden="1"/>
    </xf>
    <xf numFmtId="0" fontId="0" fillId="0" borderId="6" xfId="0" applyBorder="1" applyAlignment="1" applyProtection="1">
      <alignment horizontal="left" indent="1"/>
      <protection hidden="1"/>
    </xf>
    <xf numFmtId="0" fontId="0" fillId="0" borderId="26" xfId="0" applyBorder="1" applyAlignment="1" applyProtection="1">
      <alignment horizontal="left" vertical="center" indent="1"/>
      <protection hidden="1"/>
    </xf>
    <xf numFmtId="0" fontId="0" fillId="0" borderId="4" xfId="0" applyBorder="1" applyAlignment="1" applyProtection="1">
      <alignment horizontal="left" vertical="center" indent="1"/>
      <protection hidden="1"/>
    </xf>
    <xf numFmtId="0" fontId="5" fillId="3" borderId="13" xfId="0" applyFont="1" applyFill="1" applyBorder="1" applyAlignment="1" applyProtection="1">
      <alignment horizontal="center" vertical="center" wrapText="1"/>
      <protection hidden="1"/>
    </xf>
    <xf numFmtId="0" fontId="5" fillId="3" borderId="15" xfId="0" applyFont="1" applyFill="1" applyBorder="1" applyAlignment="1" applyProtection="1">
      <alignment horizontal="center" vertical="center" wrapText="1"/>
      <protection hidden="1"/>
    </xf>
    <xf numFmtId="0" fontId="5" fillId="3" borderId="14" xfId="0" applyFont="1" applyFill="1" applyBorder="1" applyAlignment="1" applyProtection="1">
      <alignment horizontal="center" vertical="center" wrapText="1"/>
      <protection hidden="1"/>
    </xf>
    <xf numFmtId="0" fontId="10" fillId="0" borderId="13" xfId="1" applyFont="1" applyBorder="1" applyAlignment="1" applyProtection="1">
      <alignment horizontal="center" vertical="center"/>
      <protection hidden="1"/>
    </xf>
    <xf numFmtId="0" fontId="10" fillId="0" borderId="15" xfId="1" applyFont="1" applyBorder="1" applyAlignment="1" applyProtection="1">
      <alignment horizontal="center" vertical="center"/>
      <protection hidden="1"/>
    </xf>
    <xf numFmtId="0" fontId="10" fillId="0" borderId="14" xfId="1" applyFont="1" applyBorder="1" applyAlignment="1" applyProtection="1">
      <alignment horizontal="center" vertical="center"/>
      <protection hidden="1"/>
    </xf>
    <xf numFmtId="0" fontId="10" fillId="0" borderId="18" xfId="1" applyFont="1" applyBorder="1" applyAlignment="1" applyProtection="1">
      <alignment horizontal="center" vertical="center"/>
      <protection hidden="1"/>
    </xf>
    <xf numFmtId="0" fontId="10" fillId="0" borderId="19" xfId="1" applyFont="1" applyBorder="1" applyAlignment="1" applyProtection="1">
      <alignment horizontal="center" vertical="center"/>
      <protection hidden="1"/>
    </xf>
    <xf numFmtId="0" fontId="10" fillId="0" borderId="20" xfId="1" applyFont="1" applyBorder="1" applyAlignment="1" applyProtection="1">
      <alignment horizontal="center" vertical="center"/>
      <protection hidden="1"/>
    </xf>
    <xf numFmtId="0" fontId="0" fillId="3" borderId="13" xfId="0" applyFill="1" applyBorder="1" applyAlignment="1" applyProtection="1">
      <alignment horizontal="center" vertical="center" wrapText="1"/>
      <protection hidden="1"/>
    </xf>
    <xf numFmtId="0" fontId="0" fillId="3" borderId="14" xfId="0" applyFill="1" applyBorder="1" applyAlignment="1" applyProtection="1">
      <alignment horizontal="center" vertical="center" wrapText="1"/>
      <protection hidden="1"/>
    </xf>
    <xf numFmtId="0" fontId="0" fillId="3" borderId="18" xfId="0" applyFill="1" applyBorder="1" applyAlignment="1" applyProtection="1">
      <alignment horizontal="center" vertical="center" wrapText="1"/>
      <protection hidden="1"/>
    </xf>
    <xf numFmtId="0" fontId="0" fillId="3" borderId="20" xfId="0" applyFill="1" applyBorder="1" applyAlignment="1" applyProtection="1">
      <alignment horizontal="center" vertical="center" wrapText="1"/>
      <protection hidden="1"/>
    </xf>
    <xf numFmtId="0" fontId="10" fillId="0" borderId="13" xfId="1" applyFont="1" applyFill="1" applyBorder="1" applyAlignment="1" applyProtection="1">
      <alignment horizontal="center" vertical="center"/>
      <protection hidden="1"/>
    </xf>
    <xf numFmtId="0" fontId="10" fillId="0" borderId="15" xfId="1" applyFont="1" applyFill="1" applyBorder="1" applyAlignment="1" applyProtection="1">
      <alignment horizontal="center" vertical="center"/>
      <protection hidden="1"/>
    </xf>
    <xf numFmtId="0" fontId="10" fillId="0" borderId="14" xfId="1" applyFont="1" applyFill="1" applyBorder="1" applyAlignment="1" applyProtection="1">
      <alignment horizontal="center" vertical="center"/>
      <protection hidden="1"/>
    </xf>
    <xf numFmtId="0" fontId="10" fillId="0" borderId="18" xfId="1" applyFont="1" applyFill="1" applyBorder="1" applyAlignment="1" applyProtection="1">
      <alignment horizontal="center" vertical="center"/>
      <protection hidden="1"/>
    </xf>
    <xf numFmtId="0" fontId="10" fillId="0" borderId="19" xfId="1" applyFont="1" applyFill="1" applyBorder="1" applyAlignment="1" applyProtection="1">
      <alignment horizontal="center" vertical="center"/>
      <protection hidden="1"/>
    </xf>
    <xf numFmtId="0" fontId="10" fillId="0" borderId="20" xfId="1" applyFont="1" applyFill="1" applyBorder="1" applyAlignment="1" applyProtection="1">
      <alignment horizontal="center" vertical="center"/>
      <protection hidden="1"/>
    </xf>
    <xf numFmtId="0" fontId="1" fillId="3" borderId="9" xfId="0" applyFont="1" applyFill="1" applyBorder="1" applyAlignment="1" applyProtection="1">
      <alignment horizontal="center"/>
      <protection hidden="1"/>
    </xf>
    <xf numFmtId="0" fontId="1" fillId="3" borderId="22" xfId="0" applyFont="1" applyFill="1" applyBorder="1" applyAlignment="1" applyProtection="1">
      <alignment horizontal="center"/>
      <protection hidden="1"/>
    </xf>
    <xf numFmtId="0" fontId="1" fillId="3" borderId="10" xfId="0" applyFont="1" applyFill="1" applyBorder="1" applyAlignment="1" applyProtection="1">
      <alignment horizontal="center"/>
      <protection hidden="1"/>
    </xf>
    <xf numFmtId="0" fontId="5" fillId="3" borderId="9" xfId="0" applyFont="1" applyFill="1" applyBorder="1" applyAlignment="1" applyProtection="1">
      <alignment horizontal="center"/>
      <protection hidden="1"/>
    </xf>
    <xf numFmtId="0" fontId="5" fillId="3" borderId="10" xfId="0" applyFont="1" applyFill="1" applyBorder="1" applyAlignment="1" applyProtection="1">
      <alignment horizontal="center"/>
      <protection hidden="1"/>
    </xf>
    <xf numFmtId="0" fontId="0" fillId="5" borderId="9" xfId="0" applyFill="1" applyBorder="1" applyAlignment="1" applyProtection="1">
      <alignment horizontal="center"/>
      <protection locked="0"/>
    </xf>
    <xf numFmtId="0" fontId="0" fillId="5" borderId="10" xfId="0" applyFill="1" applyBorder="1" applyAlignment="1" applyProtection="1">
      <alignment horizontal="center"/>
      <protection locked="0"/>
    </xf>
    <xf numFmtId="0" fontId="0" fillId="3" borderId="13" xfId="0" applyFill="1" applyBorder="1" applyAlignment="1" applyProtection="1">
      <alignment horizontal="left" vertical="center" wrapText="1" indent="1"/>
      <protection hidden="1"/>
    </xf>
    <xf numFmtId="0" fontId="0" fillId="3" borderId="14" xfId="0" applyFill="1" applyBorder="1" applyAlignment="1" applyProtection="1">
      <alignment horizontal="left" vertical="center" wrapText="1" indent="1"/>
      <protection hidden="1"/>
    </xf>
    <xf numFmtId="0" fontId="0" fillId="3" borderId="18" xfId="0" applyFill="1" applyBorder="1" applyAlignment="1" applyProtection="1">
      <alignment horizontal="left" vertical="center" wrapText="1" indent="1"/>
      <protection hidden="1"/>
    </xf>
    <xf numFmtId="0" fontId="0" fillId="3" borderId="20" xfId="0" applyFill="1" applyBorder="1" applyAlignment="1" applyProtection="1">
      <alignment horizontal="left" vertical="center" wrapText="1" indent="1"/>
      <protection hidden="1"/>
    </xf>
    <xf numFmtId="0" fontId="5" fillId="3" borderId="13" xfId="0" applyFont="1" applyFill="1" applyBorder="1" applyAlignment="1" applyProtection="1">
      <alignment horizontal="center"/>
      <protection hidden="1"/>
    </xf>
    <xf numFmtId="0" fontId="5" fillId="3" borderId="14" xfId="0" applyFont="1" applyFill="1" applyBorder="1" applyAlignment="1" applyProtection="1">
      <alignment horizontal="center"/>
      <protection hidden="1"/>
    </xf>
    <xf numFmtId="0" fontId="0" fillId="3" borderId="9" xfId="0" applyFill="1" applyBorder="1" applyAlignment="1" applyProtection="1">
      <alignment horizontal="center"/>
      <protection hidden="1"/>
    </xf>
    <xf numFmtId="0" fontId="0" fillId="3" borderId="10" xfId="0" applyFill="1" applyBorder="1" applyAlignment="1" applyProtection="1">
      <alignment horizontal="center"/>
      <protection hidden="1"/>
    </xf>
    <xf numFmtId="0" fontId="0" fillId="9" borderId="9" xfId="0" applyFill="1" applyBorder="1" applyAlignment="1">
      <alignment horizontal="center"/>
    </xf>
    <xf numFmtId="0" fontId="0" fillId="9" borderId="10" xfId="0" applyFill="1" applyBorder="1" applyAlignment="1">
      <alignment horizontal="center"/>
    </xf>
    <xf numFmtId="0" fontId="0" fillId="9" borderId="13" xfId="0" applyFill="1" applyBorder="1" applyAlignment="1">
      <alignment horizontal="center" wrapText="1"/>
    </xf>
    <xf numFmtId="0" fontId="0" fillId="9" borderId="14" xfId="0" applyFill="1" applyBorder="1" applyAlignment="1">
      <alignment horizontal="center" wrapText="1"/>
    </xf>
    <xf numFmtId="0" fontId="0" fillId="9" borderId="18" xfId="0" applyFill="1" applyBorder="1" applyAlignment="1">
      <alignment horizontal="center" wrapText="1"/>
    </xf>
    <xf numFmtId="0" fontId="0" fillId="9" borderId="20" xfId="0" applyFill="1" applyBorder="1" applyAlignment="1">
      <alignment horizontal="center" wrapText="1"/>
    </xf>
    <xf numFmtId="0" fontId="0" fillId="9" borderId="9" xfId="0" applyFill="1" applyBorder="1" applyAlignment="1" applyProtection="1">
      <alignment horizontal="center"/>
      <protection locked="0"/>
    </xf>
    <xf numFmtId="0" fontId="0" fillId="9" borderId="10" xfId="0" applyFill="1" applyBorder="1" applyAlignment="1" applyProtection="1">
      <alignment horizontal="center"/>
      <protection locked="0"/>
    </xf>
    <xf numFmtId="0" fontId="7" fillId="9" borderId="0" xfId="1" applyFont="1" applyFill="1" applyAlignment="1">
      <alignment horizontal="center" vertical="center"/>
    </xf>
    <xf numFmtId="0" fontId="1" fillId="9" borderId="9" xfId="0" applyFont="1" applyFill="1" applyBorder="1" applyAlignment="1">
      <alignment horizontal="center"/>
    </xf>
    <xf numFmtId="0" fontId="1" fillId="9" borderId="22" xfId="0" applyFont="1" applyFill="1" applyBorder="1" applyAlignment="1">
      <alignment horizontal="center"/>
    </xf>
    <xf numFmtId="0" fontId="1" fillId="9" borderId="10" xfId="0" applyFont="1" applyFill="1" applyBorder="1" applyAlignment="1">
      <alignment horizontal="center"/>
    </xf>
    <xf numFmtId="0" fontId="0" fillId="9" borderId="13" xfId="0" quotePrefix="1" applyFill="1" applyBorder="1" applyAlignment="1">
      <alignment horizontal="left" wrapText="1" indent="1"/>
    </xf>
    <xf numFmtId="0" fontId="0" fillId="9" borderId="15" xfId="0" quotePrefix="1" applyFill="1" applyBorder="1" applyAlignment="1">
      <alignment horizontal="left" wrapText="1" indent="1"/>
    </xf>
    <xf numFmtId="0" fontId="0" fillId="9" borderId="14" xfId="0" quotePrefix="1" applyFill="1" applyBorder="1" applyAlignment="1">
      <alignment horizontal="left" wrapText="1" indent="1"/>
    </xf>
    <xf numFmtId="0" fontId="0" fillId="9" borderId="16" xfId="0" quotePrefix="1" applyFill="1" applyBorder="1" applyAlignment="1">
      <alignment horizontal="left" wrapText="1" indent="1"/>
    </xf>
    <xf numFmtId="0" fontId="0" fillId="9" borderId="0" xfId="0" quotePrefix="1" applyFill="1" applyAlignment="1">
      <alignment horizontal="left" wrapText="1" indent="1"/>
    </xf>
    <xf numFmtId="0" fontId="0" fillId="9" borderId="17" xfId="0" quotePrefix="1" applyFill="1" applyBorder="1" applyAlignment="1">
      <alignment horizontal="left" wrapText="1" indent="1"/>
    </xf>
    <xf numFmtId="0" fontId="0" fillId="9" borderId="18" xfId="0" quotePrefix="1" applyFill="1" applyBorder="1" applyAlignment="1">
      <alignment horizontal="left" wrapText="1" indent="1"/>
    </xf>
    <xf numFmtId="0" fontId="0" fillId="9" borderId="19" xfId="0" quotePrefix="1" applyFill="1" applyBorder="1" applyAlignment="1">
      <alignment horizontal="left" wrapText="1" indent="1"/>
    </xf>
    <xf numFmtId="0" fontId="0" fillId="9" borderId="20" xfId="0" quotePrefix="1" applyFill="1" applyBorder="1" applyAlignment="1">
      <alignment horizontal="left" wrapText="1" indent="1"/>
    </xf>
    <xf numFmtId="0" fontId="5" fillId="9" borderId="13" xfId="0" applyFont="1" applyFill="1" applyBorder="1" applyAlignment="1">
      <alignment horizontal="center"/>
    </xf>
    <xf numFmtId="0" fontId="5" fillId="9" borderId="14" xfId="0" applyFont="1" applyFill="1" applyBorder="1" applyAlignment="1">
      <alignment horizontal="center"/>
    </xf>
    <xf numFmtId="0" fontId="4" fillId="0" borderId="0" xfId="0" applyFont="1" applyAlignment="1">
      <alignment horizontal="center" vertical="center" wrapText="1"/>
    </xf>
  </cellXfs>
  <cellStyles count="2">
    <cellStyle name="Hyperlink" xfId="1" builtinId="8"/>
    <cellStyle name="Normal" xfId="0" builtinId="0"/>
  </cellStyles>
  <dxfs count="3">
    <dxf>
      <fill>
        <patternFill>
          <bgColor rgb="FFFFFF00"/>
        </patternFill>
      </fill>
    </dxf>
    <dxf>
      <font>
        <b/>
        <i val="0"/>
        <color rgb="FF00B050"/>
      </font>
    </dxf>
    <dxf>
      <font>
        <color rgb="FFC00000"/>
      </font>
      <fill>
        <patternFill>
          <bgColor rgb="FFFFFF00"/>
        </patternFill>
      </fill>
    </dxf>
  </dxfs>
  <tableStyles count="0" defaultTableStyle="TableStyleMedium2" defaultPivotStyle="PivotStyleLight16"/>
  <colors>
    <mruColors>
      <color rgb="FFCCE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oom.com/share/4e999e54029a43d8b7b58d21e26817f7?sid=a1a57bba-9bd0-4ab2-994a-0c2b2c65ef01" TargetMode="External"/><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www.loom.com/share/fc444b5c3f9c4a248a148f1f65b6f4c9?sid=0ff7d3af-65cb-4d1e-bbd9-0ff57e8b91f0" TargetMode="External"/><Relationship Id="rId6" Type="http://schemas.openxmlformats.org/officeDocument/2006/relationships/hyperlink" Target="https://youtu.be/F4t2iY8rNVI?si=5lZh2IiOO883K12M" TargetMode="External"/><Relationship Id="rId5" Type="http://schemas.openxmlformats.org/officeDocument/2006/relationships/hyperlink" Target="https://www.loom.com/share/7475cd73cfcf47f884d86c351a977716?sid=82c075ad-b377-48d2-9884-8acd044a0666"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loom.com/share/07ac602d958c454a84f2b8a16b0c2e2e?sid=6608f053-539b-44f6-aff4-528d383a88c8"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838200</xdr:colOff>
      <xdr:row>1</xdr:row>
      <xdr:rowOff>40005</xdr:rowOff>
    </xdr:from>
    <xdr:to>
      <xdr:col>5</xdr:col>
      <xdr:colOff>1184910</xdr:colOff>
      <xdr:row>2</xdr:row>
      <xdr:rowOff>187325</xdr:rowOff>
    </xdr:to>
    <xdr:pic>
      <xdr:nvPicPr>
        <xdr:cNvPr id="8" name="Picture 7">
          <a:hlinkClick xmlns:r="http://schemas.openxmlformats.org/officeDocument/2006/relationships" r:id="rId1"/>
          <a:extLst>
            <a:ext uri="{FF2B5EF4-FFF2-40B4-BE49-F238E27FC236}">
              <a16:creationId xmlns:a16="http://schemas.microsoft.com/office/drawing/2014/main" id="{66CC3E08-6DF0-DC3C-B704-A044FC345A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38575" y="230505"/>
          <a:ext cx="348615" cy="334010"/>
        </a:xfrm>
        <a:prstGeom prst="rect">
          <a:avLst/>
        </a:prstGeom>
      </xdr:spPr>
    </xdr:pic>
    <xdr:clientData/>
  </xdr:twoCellAnchor>
  <xdr:twoCellAnchor editAs="oneCell">
    <xdr:from>
      <xdr:col>12</xdr:col>
      <xdr:colOff>285750</xdr:colOff>
      <xdr:row>1</xdr:row>
      <xdr:rowOff>28575</xdr:rowOff>
    </xdr:from>
    <xdr:to>
      <xdr:col>12</xdr:col>
      <xdr:colOff>613439</xdr:colOff>
      <xdr:row>2</xdr:row>
      <xdr:rowOff>186719</xdr:rowOff>
    </xdr:to>
    <xdr:pic>
      <xdr:nvPicPr>
        <xdr:cNvPr id="2" name="Picture 1">
          <a:hlinkClick xmlns:r="http://schemas.openxmlformats.org/officeDocument/2006/relationships" r:id="rId3"/>
          <a:extLst>
            <a:ext uri="{FF2B5EF4-FFF2-40B4-BE49-F238E27FC236}">
              <a16:creationId xmlns:a16="http://schemas.microsoft.com/office/drawing/2014/main" id="{DA1AEEA4-21D6-B55C-3E6F-98E3076412E7}"/>
            </a:ext>
          </a:extLst>
        </xdr:cNvPr>
        <xdr:cNvPicPr>
          <a:picLocks noChangeAspect="1"/>
        </xdr:cNvPicPr>
      </xdr:nvPicPr>
      <xdr:blipFill>
        <a:blip xmlns:r="http://schemas.openxmlformats.org/officeDocument/2006/relationships" r:embed="rId4"/>
        <a:stretch>
          <a:fillRect/>
        </a:stretch>
      </xdr:blipFill>
      <xdr:spPr>
        <a:xfrm>
          <a:off x="2990850" y="409575"/>
          <a:ext cx="335309" cy="335309"/>
        </a:xfrm>
        <a:prstGeom prst="rect">
          <a:avLst/>
        </a:prstGeom>
      </xdr:spPr>
    </xdr:pic>
    <xdr:clientData/>
  </xdr:twoCellAnchor>
  <xdr:twoCellAnchor editAs="oneCell">
    <xdr:from>
      <xdr:col>12</xdr:col>
      <xdr:colOff>295275</xdr:colOff>
      <xdr:row>4</xdr:row>
      <xdr:rowOff>19050</xdr:rowOff>
    </xdr:from>
    <xdr:to>
      <xdr:col>12</xdr:col>
      <xdr:colOff>642014</xdr:colOff>
      <xdr:row>5</xdr:row>
      <xdr:rowOff>184814</xdr:rowOff>
    </xdr:to>
    <xdr:pic>
      <xdr:nvPicPr>
        <xdr:cNvPr id="3" name="Picture 2">
          <a:hlinkClick xmlns:r="http://schemas.openxmlformats.org/officeDocument/2006/relationships" r:id="rId5"/>
          <a:extLst>
            <a:ext uri="{FF2B5EF4-FFF2-40B4-BE49-F238E27FC236}">
              <a16:creationId xmlns:a16="http://schemas.microsoft.com/office/drawing/2014/main" id="{7EA7E4CF-1010-4A55-9EA4-58647F6EED5A}"/>
            </a:ext>
          </a:extLst>
        </xdr:cNvPr>
        <xdr:cNvPicPr>
          <a:picLocks noChangeAspect="1"/>
        </xdr:cNvPicPr>
      </xdr:nvPicPr>
      <xdr:blipFill>
        <a:blip xmlns:r="http://schemas.openxmlformats.org/officeDocument/2006/relationships" r:embed="rId4"/>
        <a:stretch>
          <a:fillRect/>
        </a:stretch>
      </xdr:blipFill>
      <xdr:spPr>
        <a:xfrm>
          <a:off x="8934450" y="800100"/>
          <a:ext cx="335309" cy="335309"/>
        </a:xfrm>
        <a:prstGeom prst="rect">
          <a:avLst/>
        </a:prstGeom>
      </xdr:spPr>
    </xdr:pic>
    <xdr:clientData/>
  </xdr:twoCellAnchor>
  <xdr:twoCellAnchor editAs="oneCell">
    <xdr:from>
      <xdr:col>5</xdr:col>
      <xdr:colOff>828675</xdr:colOff>
      <xdr:row>4</xdr:row>
      <xdr:rowOff>28575</xdr:rowOff>
    </xdr:from>
    <xdr:to>
      <xdr:col>5</xdr:col>
      <xdr:colOff>1176177</xdr:colOff>
      <xdr:row>5</xdr:row>
      <xdr:rowOff>182909</xdr:rowOff>
    </xdr:to>
    <xdr:pic>
      <xdr:nvPicPr>
        <xdr:cNvPr id="4" name="Picture 3">
          <a:hlinkClick xmlns:r="http://schemas.openxmlformats.org/officeDocument/2006/relationships" r:id="rId6"/>
          <a:extLst>
            <a:ext uri="{FF2B5EF4-FFF2-40B4-BE49-F238E27FC236}">
              <a16:creationId xmlns:a16="http://schemas.microsoft.com/office/drawing/2014/main" id="{DC8B6604-2FEB-2E1A-F095-6F89979C0DD6}"/>
            </a:ext>
          </a:extLst>
        </xdr:cNvPr>
        <xdr:cNvPicPr>
          <a:picLocks noChangeAspect="1"/>
        </xdr:cNvPicPr>
      </xdr:nvPicPr>
      <xdr:blipFill>
        <a:blip xmlns:r="http://schemas.openxmlformats.org/officeDocument/2006/relationships" r:embed="rId7"/>
        <a:stretch>
          <a:fillRect/>
        </a:stretch>
      </xdr:blipFill>
      <xdr:spPr>
        <a:xfrm>
          <a:off x="4143375" y="809625"/>
          <a:ext cx="347502" cy="3353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714375</xdr:colOff>
      <xdr:row>0</xdr:row>
      <xdr:rowOff>11430</xdr:rowOff>
    </xdr:from>
    <xdr:to>
      <xdr:col>5</xdr:col>
      <xdr:colOff>304800</xdr:colOff>
      <xdr:row>1</xdr:row>
      <xdr:rowOff>171450</xdr:rowOff>
    </xdr:to>
    <xdr:pic>
      <xdr:nvPicPr>
        <xdr:cNvPr id="2" name="Picture 1">
          <a:hlinkClick xmlns:r="http://schemas.openxmlformats.org/officeDocument/2006/relationships" r:id="rId1"/>
          <a:extLst>
            <a:ext uri="{FF2B5EF4-FFF2-40B4-BE49-F238E27FC236}">
              <a16:creationId xmlns:a16="http://schemas.microsoft.com/office/drawing/2014/main" id="{2F238E6C-A846-495A-8A0C-27C974B67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26055" y="11430"/>
          <a:ext cx="352425" cy="342900"/>
        </a:xfrm>
        <a:prstGeom prst="rect">
          <a:avLst/>
        </a:prstGeom>
      </xdr:spPr>
    </xdr:pic>
    <xdr:clientData/>
  </xdr:twoCellAnchor>
  <xdr:oneCellAnchor>
    <xdr:from>
      <xdr:col>0</xdr:col>
      <xdr:colOff>47625</xdr:colOff>
      <xdr:row>0</xdr:row>
      <xdr:rowOff>78105</xdr:rowOff>
    </xdr:from>
    <xdr:ext cx="9243060" cy="4808220"/>
    <xdr:sp macro="" textlink="">
      <xdr:nvSpPr>
        <xdr:cNvPr id="3" name="TextBox 2">
          <a:extLst>
            <a:ext uri="{FF2B5EF4-FFF2-40B4-BE49-F238E27FC236}">
              <a16:creationId xmlns:a16="http://schemas.microsoft.com/office/drawing/2014/main" id="{F72BDE69-3545-7547-842B-EFCA8954B052}"/>
            </a:ext>
          </a:extLst>
        </xdr:cNvPr>
        <xdr:cNvSpPr txBox="1"/>
      </xdr:nvSpPr>
      <xdr:spPr>
        <a:xfrm>
          <a:off x="47625" y="78105"/>
          <a:ext cx="9243060" cy="48082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14</xdr:col>
      <xdr:colOff>260985</xdr:colOff>
      <xdr:row>3</xdr:row>
      <xdr:rowOff>179070</xdr:rowOff>
    </xdr:from>
    <xdr:ext cx="184731" cy="264560"/>
    <xdr:sp macro="" textlink="">
      <xdr:nvSpPr>
        <xdr:cNvPr id="4" name="TextBox 3">
          <a:extLst>
            <a:ext uri="{FF2B5EF4-FFF2-40B4-BE49-F238E27FC236}">
              <a16:creationId xmlns:a16="http://schemas.microsoft.com/office/drawing/2014/main" id="{587CCE59-968C-5E46-3425-AE3E4AF747CF}"/>
            </a:ext>
          </a:extLst>
        </xdr:cNvPr>
        <xdr:cNvSpPr txBox="1"/>
      </xdr:nvSpPr>
      <xdr:spPr>
        <a:xfrm>
          <a:off x="9153525" y="781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C4024158-5679-4750-B267-07ADC3DFF409}" userId="S::richard.ketchersid@gcu.edu::a14ec2f7-27bd-40c3-90d9-209834cdef5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6-07-16T19:29:49.31" personId="{C4024158-5679-4750-B267-07ADC3DFF409}" id="{BC060AFA-39C1-44A6-A9ED-0E8A9C142FF5}">
    <text>https://www.loom.com/share/fc444b5c3f9c4a248a148f1f65b6f4c9?sid=0ff7d3af-65cb-4d1e-bbd9-0ff57e8b91f0</text>
    <extLst>
      <x:ext xmlns:xltc2="http://schemas.microsoft.com/office/spreadsheetml/2020/threadedcomments2" uri="{F7C98A9C-CBB3-438F-8F68-D28B6AF4A901}">
        <xltc2:checksum>372693160</xltc2:checksum>
        <xltc2:hyperlink startIndex="0" length="100" url="https://www.loom.com/share/fc444b5c3f9c4a248a148f1f65b6f4c9?sid=0ff7d3af-65cb-4d1e-bbd9-0ff57e8b91f0"/>
      </x:ext>
    </extLst>
  </threadedComment>
  <threadedComment ref="I2" dT="2026-07-16T19:31:27.70" personId="{C4024158-5679-4750-B267-07ADC3DFF409}" id="{F37EA718-B0ED-4ADE-A2DB-AD85E9256E58}">
    <text>https://www.loom.com/share/4e999e54029a43d8b7b58d21e26817f7?sid=a1a57bba-9bd0-4ab2-994a-0c2b2c65ef01</text>
    <extLst>
      <x:ext xmlns:xltc2="http://schemas.microsoft.com/office/spreadsheetml/2020/threadedcomments2" uri="{F7C98A9C-CBB3-438F-8F68-D28B6AF4A901}">
        <xltc2:checksum>4210359309</xltc2:checksum>
        <xltc2:hyperlink startIndex="0" length="100" url="https://www.loom.com/share/4e999e54029a43d8b7b58d21e26817f7?sid=a1a57bba-9bd0-4ab2-994a-0c2b2c65ef01"/>
      </x:ext>
    </extLst>
  </threadedComment>
  <threadedComment ref="C5" dT="2026-07-16T19:31:12.11" personId="{C4024158-5679-4750-B267-07ADC3DFF409}" id="{E9BFACFB-8854-44EA-9A2A-E08DC1CB4A30}">
    <text>https://youtu.be/F4t2iY8rNVI?si=5lZh2IiOO883K12M</text>
    <extLst>
      <x:ext xmlns:xltc2="http://schemas.microsoft.com/office/spreadsheetml/2020/threadedcomments2" uri="{F7C98A9C-CBB3-438F-8F68-D28B6AF4A901}">
        <xltc2:checksum>1250956705</xltc2:checksum>
        <xltc2:hyperlink startIndex="0" length="48" url="https://youtu.be/F4t2iY8rNVI?si=5lZh2IiOO883K12M"/>
      </x:ext>
    </extLst>
  </threadedComment>
  <threadedComment ref="I5" dT="2026-07-16T19:31:46.67" personId="{C4024158-5679-4750-B267-07ADC3DFF409}" id="{B580BE12-F9C1-42C1-B07D-8DBA81107F12}">
    <text>https://www.loom.com/share/7475cd73cfcf47f884d86c351a977716?sid=2182524d-6ccc-44ad-993e-a1e541e670c8</text>
    <extLst>
      <x:ext xmlns:xltc2="http://schemas.microsoft.com/office/spreadsheetml/2020/threadedcomments2" uri="{F7C98A9C-CBB3-438F-8F68-D28B6AF4A901}">
        <xltc2:checksum>2014995384</xltc2:checksum>
        <xltc2:hyperlink startIndex="0" length="100" url="https://www.loom.com/share/7475cd73cfcf47f884d86c351a977716?sid=2182524d-6ccc-44ad-993e-a1e541e670c8"/>
      </x:ext>
    </extLst>
  </threadedComment>
</ThreadedComment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ww.loom.com/share/4e999e54029a43d8b7b58d21e26817f7?sid=a1a57bba-9bd0-4ab2-994a-0c2b2c65ef01" TargetMode="External"/><Relationship Id="rId7" Type="http://schemas.openxmlformats.org/officeDocument/2006/relationships/drawing" Target="../drawings/drawing1.xml"/><Relationship Id="rId2" Type="http://schemas.openxmlformats.org/officeDocument/2006/relationships/hyperlink" Target="https://www.loom.com/share/fc444b5c3f9c4a248a148f1f65b6f4c9?sid=0ff7d3af-65cb-4d1e-bbd9-0ff57e8b91f0" TargetMode="External"/><Relationship Id="rId1" Type="http://schemas.openxmlformats.org/officeDocument/2006/relationships/printerSettings" Target="../printerSettings/printerSettings1.bin"/><Relationship Id="rId6" Type="http://schemas.openxmlformats.org/officeDocument/2006/relationships/printerSettings" Target="../printerSettings/printerSettings2.bin"/><Relationship Id="rId5" Type="http://schemas.openxmlformats.org/officeDocument/2006/relationships/hyperlink" Target="https://youtu.be/F4t2iY8rNVI?si=5lZh2IiOO883K12M" TargetMode="External"/><Relationship Id="rId10" Type="http://schemas.microsoft.com/office/2017/10/relationships/threadedComment" Target="../threadedComments/threadedComment1.xml"/><Relationship Id="rId4" Type="http://schemas.openxmlformats.org/officeDocument/2006/relationships/hyperlink" Target="https://www.loom.com/share/7475cd73cfcf47f884d86c351a977716?sid=2182524d-6ccc-44ad-993e-a1e541e670c8"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m.com/share/07ac602d958c454a84f2b8a16b0c2e2e?sid=6608f053-539b-44f6-aff4-528d383a88c8"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C96E-0E65-43D0-8350-DB2754A29A16}">
  <dimension ref="B2:I12"/>
  <sheetViews>
    <sheetView tabSelected="1" workbookViewId="0">
      <selection activeCell="B3" sqref="B3"/>
    </sheetView>
  </sheetViews>
  <sheetFormatPr defaultRowHeight="15"/>
  <cols>
    <col min="2" max="2" width="57.140625" customWidth="1"/>
  </cols>
  <sheetData>
    <row r="2" spans="2:9" ht="15.75" thickBot="1"/>
    <row r="3" spans="2:9" ht="15.75" thickBot="1">
      <c r="B3" s="6" t="s">
        <v>0</v>
      </c>
      <c r="D3" s="60" t="s">
        <v>1</v>
      </c>
      <c r="E3" s="61"/>
      <c r="F3" s="61"/>
      <c r="G3" s="61"/>
      <c r="H3" s="61"/>
      <c r="I3" s="62"/>
    </row>
    <row r="4" spans="2:9" ht="30">
      <c r="B4" s="9" t="s">
        <v>2</v>
      </c>
      <c r="D4" s="63"/>
      <c r="E4" s="64"/>
      <c r="F4" s="64"/>
      <c r="G4" s="64"/>
      <c r="H4" s="64"/>
      <c r="I4" s="65"/>
    </row>
    <row r="5" spans="2:9">
      <c r="B5" s="8" t="s">
        <v>3</v>
      </c>
      <c r="D5" s="63"/>
      <c r="E5" s="64"/>
      <c r="F5" s="64"/>
      <c r="G5" s="64"/>
      <c r="H5" s="64"/>
      <c r="I5" s="65"/>
    </row>
    <row r="6" spans="2:9" ht="30">
      <c r="B6" s="8" t="s">
        <v>4</v>
      </c>
      <c r="D6" s="63"/>
      <c r="E6" s="64"/>
      <c r="F6" s="64"/>
      <c r="G6" s="64"/>
      <c r="H6" s="64"/>
      <c r="I6" s="65"/>
    </row>
    <row r="7" spans="2:9" ht="30.75" thickBot="1">
      <c r="B7" s="8" t="s">
        <v>5</v>
      </c>
      <c r="D7" s="66"/>
      <c r="E7" s="67"/>
      <c r="F7" s="67"/>
      <c r="G7" s="67"/>
      <c r="H7" s="67"/>
      <c r="I7" s="68"/>
    </row>
    <row r="8" spans="2:9" ht="15.75" thickBot="1">
      <c r="B8" s="7"/>
    </row>
    <row r="9" spans="2:9" ht="15.75" thickBot="1">
      <c r="B9" s="6" t="s">
        <v>6</v>
      </c>
    </row>
    <row r="10" spans="2:9">
      <c r="B10" s="7" t="s">
        <v>7</v>
      </c>
    </row>
    <row r="11" spans="2:9">
      <c r="B11" s="8" t="s">
        <v>8</v>
      </c>
    </row>
    <row r="12" spans="2:9" ht="30">
      <c r="B12" s="8" t="s">
        <v>62</v>
      </c>
    </row>
  </sheetData>
  <mergeCells count="1">
    <mergeCell ref="D3: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A598-8F75-47DB-A1EB-542124AF2F6A}">
  <dimension ref="A1:S69"/>
  <sheetViews>
    <sheetView workbookViewId="0">
      <selection activeCell="F8" sqref="F8"/>
    </sheetView>
  </sheetViews>
  <sheetFormatPr defaultRowHeight="15"/>
  <cols>
    <col min="1" max="1" width="3.140625" style="34" customWidth="1"/>
    <col min="2" max="2" width="14.7109375" style="34" customWidth="1"/>
    <col min="3" max="3" width="14.140625" style="34" customWidth="1"/>
    <col min="4" max="4" width="4.5703125" style="34" customWidth="1"/>
    <col min="5" max="5" width="13.140625" style="34" customWidth="1"/>
    <col min="6" max="6" width="18.140625" style="34" customWidth="1"/>
    <col min="7" max="7" width="8.85546875" style="34" customWidth="1"/>
    <col min="8" max="8" width="9.85546875" style="34" customWidth="1"/>
    <col min="9" max="9" width="10.5703125" style="34" customWidth="1"/>
    <col min="10" max="10" width="20.5703125" style="34" customWidth="1"/>
    <col min="11" max="11" width="12.140625" style="34" customWidth="1"/>
    <col min="12" max="12" width="9.140625" style="34"/>
    <col min="13" max="13" width="12.42578125" style="34" customWidth="1"/>
    <col min="14" max="14" width="10.42578125" style="34" customWidth="1"/>
    <col min="15" max="15" width="17.42578125" style="34" customWidth="1"/>
    <col min="16" max="16" width="18.28515625" style="34" customWidth="1"/>
    <col min="17" max="18" width="9.140625" style="34"/>
    <col min="19" max="19" width="23.140625" style="34" customWidth="1"/>
    <col min="20" max="16384" width="9.140625" style="34"/>
  </cols>
  <sheetData>
    <row r="1" spans="1:19" ht="15" customHeight="1" thickBot="1"/>
    <row r="2" spans="1:19" ht="15" customHeight="1">
      <c r="C2" s="118" t="s">
        <v>81</v>
      </c>
      <c r="D2" s="119"/>
      <c r="E2" s="119"/>
      <c r="F2" s="119"/>
      <c r="G2" s="120"/>
      <c r="I2" s="108" t="s">
        <v>64</v>
      </c>
      <c r="J2" s="109"/>
      <c r="K2" s="109"/>
      <c r="L2" s="109"/>
      <c r="M2" s="110"/>
      <c r="O2" s="74" t="s">
        <v>10</v>
      </c>
      <c r="P2" s="75"/>
    </row>
    <row r="3" spans="1:19" ht="15.75" thickBot="1">
      <c r="C3" s="121"/>
      <c r="D3" s="122"/>
      <c r="E3" s="122"/>
      <c r="F3" s="122"/>
      <c r="G3" s="123"/>
      <c r="I3" s="111"/>
      <c r="J3" s="112"/>
      <c r="K3" s="112"/>
      <c r="L3" s="112"/>
      <c r="M3" s="113"/>
      <c r="O3" s="35" t="s">
        <v>13</v>
      </c>
      <c r="P3" s="36" t="s">
        <v>14</v>
      </c>
    </row>
    <row r="4" spans="1:19" ht="15.75" thickBot="1">
      <c r="O4" s="37" t="s">
        <v>15</v>
      </c>
      <c r="P4" s="38" t="s">
        <v>16</v>
      </c>
    </row>
    <row r="5" spans="1:19" ht="14.45" customHeight="1">
      <c r="C5" s="108" t="s">
        <v>80</v>
      </c>
      <c r="D5" s="109"/>
      <c r="E5" s="109"/>
      <c r="F5" s="109"/>
      <c r="G5" s="110"/>
      <c r="I5" s="108" t="s">
        <v>65</v>
      </c>
      <c r="J5" s="109"/>
      <c r="K5" s="109"/>
      <c r="L5" s="109"/>
      <c r="M5" s="110"/>
      <c r="O5" s="39" t="s">
        <v>18</v>
      </c>
      <c r="P5" s="38" t="s">
        <v>19</v>
      </c>
    </row>
    <row r="6" spans="1:19" ht="15.75" thickBot="1">
      <c r="C6" s="111"/>
      <c r="D6" s="112"/>
      <c r="E6" s="112"/>
      <c r="F6" s="112"/>
      <c r="G6" s="113"/>
      <c r="I6" s="111"/>
      <c r="J6" s="112"/>
      <c r="K6" s="112"/>
      <c r="L6" s="112"/>
      <c r="M6" s="113"/>
      <c r="O6" s="40" t="s">
        <v>20</v>
      </c>
      <c r="P6" s="38" t="s">
        <v>21</v>
      </c>
    </row>
    <row r="7" spans="1:19" ht="15.75" thickBot="1">
      <c r="O7" s="41" t="s">
        <v>22</v>
      </c>
      <c r="P7" s="42" t="s">
        <v>23</v>
      </c>
    </row>
    <row r="8" spans="1:19" ht="15.75" thickBot="1">
      <c r="B8" s="124" t="s">
        <v>63</v>
      </c>
      <c r="C8" s="125"/>
      <c r="D8" s="125"/>
      <c r="E8" s="126"/>
      <c r="F8" s="55" t="s">
        <v>12</v>
      </c>
    </row>
    <row r="9" spans="1:19" ht="15" customHeight="1" thickBot="1">
      <c r="E9" s="11" t="b">
        <f>OR(LEN(F8)&lt;5,F8="Your Name")</f>
        <v>1</v>
      </c>
      <c r="F9" s="12" t="str">
        <f>IF(LEN(F8)&lt;5,"Too Short","")</f>
        <v/>
      </c>
      <c r="I9" s="88" t="s">
        <v>66</v>
      </c>
      <c r="J9" s="89"/>
      <c r="K9" s="89"/>
      <c r="L9" s="89"/>
      <c r="M9" s="90"/>
      <c r="O9" s="43">
        <v>15</v>
      </c>
      <c r="P9" s="97" t="s">
        <v>58</v>
      </c>
      <c r="Q9" s="97"/>
      <c r="R9" s="97"/>
      <c r="S9" s="98"/>
    </row>
    <row r="10" spans="1:19" ht="18" customHeight="1">
      <c r="B10" s="88" t="s">
        <v>17</v>
      </c>
      <c r="C10" s="89"/>
      <c r="D10" s="89"/>
      <c r="E10" s="89"/>
      <c r="F10" s="90"/>
      <c r="I10" s="91"/>
      <c r="J10" s="92"/>
      <c r="K10" s="92"/>
      <c r="L10" s="92"/>
      <c r="M10" s="93"/>
      <c r="O10" s="44">
        <v>15</v>
      </c>
      <c r="P10" s="99" t="s">
        <v>59</v>
      </c>
      <c r="Q10" s="99"/>
      <c r="R10" s="99"/>
      <c r="S10" s="100"/>
    </row>
    <row r="11" spans="1:19" ht="18" customHeight="1" thickBot="1">
      <c r="A11" s="45"/>
      <c r="B11" s="91"/>
      <c r="C11" s="92"/>
      <c r="D11" s="92"/>
      <c r="E11" s="92"/>
      <c r="F11" s="93"/>
      <c r="I11" s="94"/>
      <c r="J11" s="95"/>
      <c r="K11" s="95"/>
      <c r="L11" s="95"/>
      <c r="M11" s="96"/>
      <c r="O11" s="46">
        <v>16</v>
      </c>
      <c r="P11" s="101" t="s">
        <v>60</v>
      </c>
      <c r="Q11" s="101"/>
      <c r="R11" s="101"/>
      <c r="S11" s="102"/>
    </row>
    <row r="12" spans="1:19" ht="18" customHeight="1" thickBot="1">
      <c r="A12" s="47"/>
      <c r="B12" s="91"/>
      <c r="C12" s="92"/>
      <c r="D12" s="92"/>
      <c r="E12" s="92"/>
      <c r="F12" s="93"/>
      <c r="O12" s="48">
        <v>16</v>
      </c>
      <c r="P12" s="103" t="s">
        <v>61</v>
      </c>
      <c r="Q12" s="103"/>
      <c r="R12" s="103"/>
      <c r="S12" s="104"/>
    </row>
    <row r="13" spans="1:19" ht="18" customHeight="1" thickBot="1">
      <c r="A13" s="45"/>
      <c r="B13" s="94"/>
      <c r="C13" s="95"/>
      <c r="D13" s="95"/>
      <c r="E13" s="95"/>
      <c r="F13" s="96"/>
      <c r="I13" s="76" t="s">
        <v>28</v>
      </c>
      <c r="J13" s="77"/>
      <c r="K13" s="77"/>
      <c r="L13" s="77"/>
      <c r="M13" s="78"/>
    </row>
    <row r="14" spans="1:19" ht="15.75" thickBot="1">
      <c r="A14" s="45"/>
      <c r="I14" s="79"/>
      <c r="J14" s="80"/>
      <c r="K14" s="80"/>
      <c r="L14" s="80"/>
      <c r="M14" s="81"/>
    </row>
    <row r="15" spans="1:19">
      <c r="B15" s="135" t="s">
        <v>24</v>
      </c>
      <c r="C15" s="136"/>
      <c r="D15" s="49"/>
      <c r="E15" s="135" t="s">
        <v>25</v>
      </c>
      <c r="F15" s="136"/>
      <c r="I15" s="79"/>
      <c r="J15" s="80"/>
      <c r="K15" s="80"/>
      <c r="L15" s="80"/>
      <c r="M15" s="81"/>
    </row>
    <row r="16" spans="1:19">
      <c r="B16" s="50" t="s">
        <v>77</v>
      </c>
      <c r="C16" s="51" t="s">
        <v>78</v>
      </c>
      <c r="E16" s="50" t="s">
        <v>26</v>
      </c>
      <c r="F16" s="51" t="s">
        <v>27</v>
      </c>
      <c r="I16" s="79"/>
      <c r="J16" s="80"/>
      <c r="K16" s="80"/>
      <c r="L16" s="80"/>
      <c r="M16" s="81"/>
    </row>
    <row r="17" spans="2:14">
      <c r="B17" s="4" t="str">
        <f>IF(E$9,"Check F8", Random!I20)</f>
        <v>Check F8</v>
      </c>
      <c r="C17" s="5" t="str">
        <f>IF(E$9, "Check F8",1/((Random!D$12*9+1)*2)*'Linear Fit'!B17^2+(4*Random!D13-1))</f>
        <v>Check F8</v>
      </c>
      <c r="E17" s="2" t="str">
        <f>IF(E$9, "Check F8", MAX(MIN(B17:B22)-4,0))</f>
        <v>Check F8</v>
      </c>
      <c r="F17" s="30"/>
      <c r="I17" s="79"/>
      <c r="J17" s="80"/>
      <c r="K17" s="80"/>
      <c r="L17" s="80"/>
      <c r="M17" s="81"/>
    </row>
    <row r="18" spans="2:14">
      <c r="B18" s="2" t="str">
        <f>IF(E$9,"Check F8", Random!I21)</f>
        <v>Check F8</v>
      </c>
      <c r="C18" s="5" t="str">
        <f>IF(E$9, "Check F8",1/((Random!D$12*9+1)*2)*'Linear Fit'!B18^2+(4*Random!D14-1))</f>
        <v>Check F8</v>
      </c>
      <c r="E18" s="2" t="str">
        <f>IF(E$9, "Check F8",E17+ROUNDUP((8+MAX(B$17:B$22)-MIN(B$17:B$22))/11,0))</f>
        <v>Check F8</v>
      </c>
      <c r="F18" s="30"/>
      <c r="I18" s="79"/>
      <c r="J18" s="80"/>
      <c r="K18" s="80"/>
      <c r="L18" s="80"/>
      <c r="M18" s="81"/>
    </row>
    <row r="19" spans="2:14">
      <c r="B19" s="2" t="str">
        <f>IF(E$9,"Check F8", Random!I22)</f>
        <v>Check F8</v>
      </c>
      <c r="C19" s="5" t="str">
        <f>IF(E$9, "Check F8",1/((Random!D$12*9+1)*2)*'Linear Fit'!B19^2+(4*Random!D15-1))</f>
        <v>Check F8</v>
      </c>
      <c r="E19" s="2" t="str">
        <f t="shared" ref="E19:E27" si="0">IF(E$9, "Check F8",E18+ROUNDUP((8+MAX(B$17:B$22)-MIN(B$17:B$22))/11,0))</f>
        <v>Check F8</v>
      </c>
      <c r="F19" s="30"/>
      <c r="I19" s="79"/>
      <c r="J19" s="80"/>
      <c r="K19" s="80"/>
      <c r="L19" s="80"/>
      <c r="M19" s="81"/>
    </row>
    <row r="20" spans="2:14">
      <c r="B20" s="2" t="str">
        <f>IF(E$9,"Check F8", Random!I23)</f>
        <v>Check F8</v>
      </c>
      <c r="C20" s="5" t="str">
        <f>IF(E$9, "Check F8",1/((Random!D$12*9+1)*2)*'Linear Fit'!B20^2+(4*Random!D16-1))</f>
        <v>Check F8</v>
      </c>
      <c r="E20" s="2" t="str">
        <f t="shared" si="0"/>
        <v>Check F8</v>
      </c>
      <c r="F20" s="30"/>
      <c r="I20" s="79"/>
      <c r="J20" s="80"/>
      <c r="K20" s="80"/>
      <c r="L20" s="80"/>
      <c r="M20" s="81"/>
    </row>
    <row r="21" spans="2:14">
      <c r="B21" s="2" t="str">
        <f>IF(E$9,"Check F8", Random!I24)</f>
        <v>Check F8</v>
      </c>
      <c r="C21" s="5" t="str">
        <f>IF(E$9, "Check F8",1/((Random!D$12*9+1)*2)*'Linear Fit'!B21^2+(4*Random!D17-1))</f>
        <v>Check F8</v>
      </c>
      <c r="E21" s="2" t="str">
        <f t="shared" si="0"/>
        <v>Check F8</v>
      </c>
      <c r="F21" s="30"/>
      <c r="I21" s="79"/>
      <c r="J21" s="80"/>
      <c r="K21" s="80"/>
      <c r="L21" s="80"/>
      <c r="M21" s="81"/>
    </row>
    <row r="22" spans="2:14" ht="15.75" thickBot="1">
      <c r="B22" s="3" t="str">
        <f>IF(E$9,"Check F8", Random!I25)</f>
        <v>Check F8</v>
      </c>
      <c r="C22" s="5" t="str">
        <f>IF(E$9, "Check F8",1/((Random!D$12*9+1)*2)*'Linear Fit'!B22^2+(4*Random!D18-1))</f>
        <v>Check F8</v>
      </c>
      <c r="E22" s="2" t="str">
        <f t="shared" si="0"/>
        <v>Check F8</v>
      </c>
      <c r="F22" s="30"/>
      <c r="I22" s="79"/>
      <c r="J22" s="80"/>
      <c r="K22" s="80"/>
      <c r="L22" s="80"/>
      <c r="M22" s="81"/>
    </row>
    <row r="23" spans="2:14" ht="15.75" thickBot="1">
      <c r="E23" s="2" t="str">
        <f t="shared" si="0"/>
        <v>Check F8</v>
      </c>
      <c r="F23" s="30"/>
      <c r="I23" s="79"/>
      <c r="J23" s="80"/>
      <c r="K23" s="80"/>
      <c r="L23" s="80"/>
      <c r="M23" s="81"/>
    </row>
    <row r="24" spans="2:14" ht="15.75" thickBot="1">
      <c r="B24" s="137" t="s">
        <v>29</v>
      </c>
      <c r="C24" s="138"/>
      <c r="E24" s="2" t="str">
        <f t="shared" si="0"/>
        <v>Check F8</v>
      </c>
      <c r="F24" s="30"/>
      <c r="I24" s="82"/>
      <c r="J24" s="83"/>
      <c r="K24" s="83"/>
      <c r="L24" s="83"/>
      <c r="M24" s="84"/>
    </row>
    <row r="25" spans="2:14" ht="15.75" thickBot="1">
      <c r="B25" s="10"/>
      <c r="C25" s="52" t="s">
        <v>30</v>
      </c>
      <c r="E25" s="2" t="str">
        <f t="shared" si="0"/>
        <v>Check F8</v>
      </c>
      <c r="F25" s="30"/>
    </row>
    <row r="26" spans="2:14" ht="15.75" thickBot="1">
      <c r="B26" s="1"/>
      <c r="C26" s="53" t="s">
        <v>31</v>
      </c>
      <c r="E26" s="2" t="str">
        <f t="shared" si="0"/>
        <v>Check F8</v>
      </c>
      <c r="F26" s="30"/>
      <c r="H26" s="85" t="str">
        <f>IF(E9,"Check F3","Use your graph to approximate the stopping distance at a speed of  "&amp;(E25+E26)/2&amp;" m/s")</f>
        <v>Check F3</v>
      </c>
      <c r="I26" s="86"/>
      <c r="J26" s="86"/>
      <c r="K26" s="86"/>
      <c r="L26" s="86"/>
      <c r="M26" s="87"/>
      <c r="N26" s="32"/>
    </row>
    <row r="27" spans="2:14" ht="15.75" customHeight="1" thickBot="1">
      <c r="B27" s="131" t="s">
        <v>69</v>
      </c>
      <c r="C27" s="132"/>
      <c r="E27" s="3" t="str">
        <f t="shared" si="0"/>
        <v>Check F8</v>
      </c>
      <c r="F27" s="30"/>
    </row>
    <row r="28" spans="2:14" ht="18" customHeight="1" thickBot="1">
      <c r="B28" s="133"/>
      <c r="C28" s="134"/>
      <c r="E28" s="131" t="s">
        <v>68</v>
      </c>
      <c r="F28" s="132"/>
      <c r="H28" s="105" t="s">
        <v>76</v>
      </c>
      <c r="I28" s="106"/>
      <c r="J28" s="106"/>
      <c r="K28" s="106"/>
      <c r="L28" s="106"/>
      <c r="M28" s="106"/>
      <c r="N28" s="107"/>
    </row>
    <row r="29" spans="2:14" ht="18" customHeight="1" thickBot="1">
      <c r="E29" s="133"/>
      <c r="F29" s="134"/>
      <c r="H29" s="71" t="s">
        <v>70</v>
      </c>
      <c r="I29" s="72"/>
      <c r="J29" s="72"/>
      <c r="K29" s="33"/>
      <c r="L29" s="69" t="s">
        <v>71</v>
      </c>
      <c r="M29" s="69"/>
      <c r="N29" s="70"/>
    </row>
    <row r="30" spans="2:14" ht="18" customHeight="1" thickBot="1">
      <c r="B30" s="127" t="s">
        <v>79</v>
      </c>
      <c r="C30" s="128"/>
      <c r="H30" s="71" t="s">
        <v>72</v>
      </c>
      <c r="I30" s="72"/>
      <c r="J30" s="72"/>
      <c r="K30" s="72"/>
      <c r="L30" s="73"/>
      <c r="M30" s="33"/>
      <c r="N30" s="54" t="s">
        <v>73</v>
      </c>
    </row>
    <row r="31" spans="2:14" ht="18" customHeight="1" thickBot="1">
      <c r="B31" s="129"/>
      <c r="C31" s="130"/>
    </row>
    <row r="32" spans="2:14" ht="14.45" customHeight="1">
      <c r="B32" s="114" t="s">
        <v>67</v>
      </c>
      <c r="C32" s="115"/>
    </row>
    <row r="33" spans="2:3" ht="15.75" thickBot="1">
      <c r="B33" s="116"/>
      <c r="C33" s="117"/>
    </row>
    <row r="68" spans="5:5">
      <c r="E68" s="34" t="s">
        <v>74</v>
      </c>
    </row>
    <row r="69" spans="5:5">
      <c r="E69" s="34" t="s">
        <v>75</v>
      </c>
    </row>
  </sheetData>
  <sheetProtection algorithmName="SHA-512" hashValue="pFKseMRv4Ux6BBHj2jTKapFjGufTQ6z4aDoAXVnS4x8rKNaWISbuMIA+xtYWV3QRWhZMXUeTDGg10WS5GVtsGg==" saltValue="VUyIZQU0m2ypjcU4rETQpg==" spinCount="100000" sheet="1" formatCells="0" formatColumns="0" formatRows="0"/>
  <customSheetViews>
    <customSheetView guid="{1E6EB3EC-58F4-42D5-9462-6EAD6EC3491E}">
      <selection activeCell="G24" sqref="G24"/>
      <pageMargins left="0" right="0" top="0" bottom="0" header="0" footer="0"/>
      <pageSetup orientation="portrait" r:id="rId1"/>
    </customSheetView>
  </customSheetViews>
  <mergeCells count="26">
    <mergeCell ref="B32:C33"/>
    <mergeCell ref="C2:G3"/>
    <mergeCell ref="B8:E8"/>
    <mergeCell ref="B30:C30"/>
    <mergeCell ref="B31:C31"/>
    <mergeCell ref="E28:F29"/>
    <mergeCell ref="B15:C15"/>
    <mergeCell ref="B24:C24"/>
    <mergeCell ref="E15:F15"/>
    <mergeCell ref="B10:F13"/>
    <mergeCell ref="B27:C28"/>
    <mergeCell ref="C5:G6"/>
    <mergeCell ref="L29:N29"/>
    <mergeCell ref="H30:L30"/>
    <mergeCell ref="O2:P2"/>
    <mergeCell ref="I13:M24"/>
    <mergeCell ref="H26:M26"/>
    <mergeCell ref="I9:M11"/>
    <mergeCell ref="P9:S9"/>
    <mergeCell ref="P10:S10"/>
    <mergeCell ref="P11:S11"/>
    <mergeCell ref="P12:S12"/>
    <mergeCell ref="H28:N28"/>
    <mergeCell ref="I2:M3"/>
    <mergeCell ref="I5:M6"/>
    <mergeCell ref="H29:J29"/>
  </mergeCells>
  <conditionalFormatting sqref="F9">
    <cfRule type="expression" dxfId="2" priority="1">
      <formula>F9="Too Short"</formula>
    </cfRule>
  </conditionalFormatting>
  <hyperlinks>
    <hyperlink ref="C2:G3" r:id="rId2" display="Video for this DQ" xr:uid="{BD5C7101-D7FE-4519-BCDD-60C638344AEE}"/>
    <hyperlink ref="I2:M3" r:id="rId3" display="Video on #SPILL! Error" xr:uid="{6ED5AB37-6FD6-4D2E-904A-1016E4D4A698}"/>
    <hyperlink ref="I5:M6" r:id="rId4" display="Scatter plot using online Excel" xr:uid="{4E04CA62-B451-4A43-8535-A8565032051F}"/>
    <hyperlink ref="C5:G6" r:id="rId5" display="Video on Autofill" xr:uid="{7EE831E3-D2DF-4260-911D-209F861CF2EA}"/>
  </hyperlinks>
  <pageMargins left="0.7" right="0.7" top="0.75" bottom="0.75" header="0.3" footer="0.3"/>
  <pageSetup orientation="portrait" r:id="rId6"/>
  <drawing r:id="rId7"/>
  <legacyDrawing r:id="rId8"/>
  <extLst>
    <ext xmlns:x14="http://schemas.microsoft.com/office/spreadsheetml/2009/9/main" uri="{78C0D931-6437-407d-A8EE-F0AAD7539E65}">
      <x14:conditionalFormattings>
        <x14:conditionalFormatting xmlns:xm="http://schemas.microsoft.com/office/excel/2006/main">
          <x14:cfRule type="expression" priority="3" id="{0DD08CF9-72CA-470B-8988-26878624A342}">
            <xm:f>AND($F$8&lt;&gt;"Your Name",B17=GradeSheet!B12)</xm:f>
            <x14:dxf>
              <font>
                <b/>
                <i val="0"/>
                <color rgb="FF00B050"/>
              </font>
            </x14:dxf>
          </x14:cfRule>
          <x14:cfRule type="expression" priority="4" id="{8AABAED7-4194-4248-816A-BF18F3D5E7EC}">
            <xm:f>GradeSheet!C12</xm:f>
            <x14:dxf>
              <fill>
                <patternFill>
                  <bgColor rgb="FFFFFF00"/>
                </patternFill>
              </fill>
            </x14:dxf>
          </x14:cfRule>
          <xm:sqref>F17:F27 B25:B26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9AA7-BB63-4166-8E6B-03E152B02ECD}">
  <dimension ref="A1:M21"/>
  <sheetViews>
    <sheetView workbookViewId="0">
      <selection activeCell="C2" sqref="C2"/>
    </sheetView>
  </sheetViews>
  <sheetFormatPr defaultRowHeight="15"/>
  <cols>
    <col min="1" max="1" width="9.140625" style="58"/>
  </cols>
  <sheetData>
    <row r="1" spans="1:13">
      <c r="A1" s="58" t="s">
        <v>82</v>
      </c>
      <c r="B1" t="s">
        <v>83</v>
      </c>
      <c r="C1" s="59">
        <v>1</v>
      </c>
      <c r="D1" t="str">
        <f>'Linear Fit'!F8</f>
        <v>Your Name</v>
      </c>
      <c r="F1" s="58" t="str">
        <f ca="1">IF(M1="ACTIVE", "✓ Tracking Active", "⚠️ ERROR: Enable Iterative Calculations (File &gt; Options &gt; Formulas)")</f>
        <v>✓ Tracking Active</v>
      </c>
      <c r="G1" s="58"/>
      <c r="H1" s="58"/>
      <c r="I1" s="58"/>
      <c r="J1" s="58"/>
      <c r="K1" s="58"/>
      <c r="L1" s="58"/>
      <c r="M1" s="58" t="str">
        <f ca="1">IF(M1="ACTIVE", "ACTIVE", "ACTIVE")</f>
        <v>ACTIVE</v>
      </c>
    </row>
    <row r="2" spans="1:13">
      <c r="A2" s="58" t="str">
        <f t="shared" ref="A2:A19" ca="1" si="0">IF(D$1&lt;&gt;A3,A3,A2)</f>
        <v/>
      </c>
    </row>
    <row r="3" spans="1:13">
      <c r="A3" s="58" t="str">
        <f t="shared" ca="1" si="0"/>
        <v/>
      </c>
    </row>
    <row r="4" spans="1:13">
      <c r="A4" s="58" t="str">
        <f t="shared" ca="1" si="0"/>
        <v/>
      </c>
    </row>
    <row r="5" spans="1:13">
      <c r="A5" s="58" t="str">
        <f t="shared" ca="1" si="0"/>
        <v/>
      </c>
    </row>
    <row r="6" spans="1:13">
      <c r="A6" s="58" t="str">
        <f t="shared" ca="1" si="0"/>
        <v/>
      </c>
    </row>
    <row r="7" spans="1:13">
      <c r="A7" s="58" t="str">
        <f t="shared" ca="1" si="0"/>
        <v/>
      </c>
    </row>
    <row r="8" spans="1:13">
      <c r="A8" s="58" t="str">
        <f t="shared" ca="1" si="0"/>
        <v/>
      </c>
    </row>
    <row r="9" spans="1:13">
      <c r="A9" s="58" t="str">
        <f t="shared" ca="1" si="0"/>
        <v/>
      </c>
    </row>
    <row r="10" spans="1:13">
      <c r="A10" s="58" t="str">
        <f t="shared" ca="1" si="0"/>
        <v/>
      </c>
    </row>
    <row r="11" spans="1:13">
      <c r="A11" s="58" t="str">
        <f t="shared" ca="1" si="0"/>
        <v/>
      </c>
    </row>
    <row r="12" spans="1:13">
      <c r="A12" s="58" t="str">
        <f t="shared" ca="1" si="0"/>
        <v/>
      </c>
    </row>
    <row r="13" spans="1:13">
      <c r="A13" s="58" t="str">
        <f t="shared" ca="1" si="0"/>
        <v/>
      </c>
    </row>
    <row r="14" spans="1:13">
      <c r="A14" s="58" t="str">
        <f t="shared" ca="1" si="0"/>
        <v/>
      </c>
    </row>
    <row r="15" spans="1:13">
      <c r="A15" s="58" t="str">
        <f t="shared" ca="1" si="0"/>
        <v/>
      </c>
    </row>
    <row r="16" spans="1:13">
      <c r="A16" s="58" t="str">
        <f t="shared" ca="1" si="0"/>
        <v/>
      </c>
    </row>
    <row r="17" spans="1:1">
      <c r="A17" s="58" t="str">
        <f t="shared" ca="1" si="0"/>
        <v/>
      </c>
    </row>
    <row r="18" spans="1:1">
      <c r="A18" s="58" t="str">
        <f t="shared" ca="1" si="0"/>
        <v/>
      </c>
    </row>
    <row r="19" spans="1:1">
      <c r="A19" s="58" t="str">
        <f t="shared" ca="1" si="0"/>
        <v/>
      </c>
    </row>
    <row r="20" spans="1:1">
      <c r="A20" s="58" t="str">
        <f ca="1">IF(D$1&lt;&gt;A21,A21,A20)</f>
        <v/>
      </c>
    </row>
    <row r="21" spans="1:1">
      <c r="A21" s="58" t="str">
        <f ca="1">IF(C$1="","",IF(D$1&lt;&gt;A21,D$1,A21))</f>
        <v>Your Name</v>
      </c>
    </row>
  </sheetData>
  <sheetProtection algorithmName="SHA-512" hashValue="U0MyB3qEd0GVCb85iAGicDJBi7FiWyaHGhMLLRl+j4eoN+vKu+bScvQ+U8Vs+ROGEJ/rXv6bvqoT3fZrXeHKEw==" saltValue="g+y06w8/Lxv/8rEFSgHH+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E341-A7C9-447F-A0CE-0F63AD8EEA86}">
  <dimension ref="A1:O24"/>
  <sheetViews>
    <sheetView topLeftCell="A15" workbookViewId="0">
      <selection activeCell="J37" sqref="J37"/>
    </sheetView>
  </sheetViews>
  <sheetFormatPr defaultRowHeight="15"/>
  <cols>
    <col min="1" max="1" width="3.140625" style="13" customWidth="1"/>
    <col min="2" max="2" width="11.140625" style="13" bestFit="1" customWidth="1"/>
    <col min="3" max="3" width="11.42578125" style="13" bestFit="1" customWidth="1"/>
    <col min="4" max="4" width="11.7109375" style="13" customWidth="1"/>
    <col min="5" max="5" width="11.140625" style="13" bestFit="1" customWidth="1"/>
    <col min="6" max="6" width="11.42578125" style="13" bestFit="1" customWidth="1"/>
    <col min="7" max="16384" width="9.140625" style="13"/>
  </cols>
  <sheetData>
    <row r="1" spans="1:15" ht="15" customHeight="1">
      <c r="B1" s="147" t="s">
        <v>9</v>
      </c>
      <c r="C1" s="147"/>
      <c r="D1" s="147"/>
      <c r="E1" s="147"/>
      <c r="F1" s="147"/>
    </row>
    <row r="2" spans="1:15" ht="15" customHeight="1" thickBot="1">
      <c r="B2" s="147"/>
      <c r="C2" s="147"/>
      <c r="D2" s="147"/>
      <c r="E2" s="147"/>
      <c r="F2" s="147"/>
    </row>
    <row r="3" spans="1:15" ht="17.25" thickBot="1">
      <c r="B3" s="148" t="s">
        <v>11</v>
      </c>
      <c r="C3" s="149"/>
      <c r="D3" s="149"/>
      <c r="E3" s="150"/>
      <c r="F3" s="14" t="s">
        <v>12</v>
      </c>
    </row>
    <row r="4" spans="1:15" ht="15.75" thickBot="1"/>
    <row r="5" spans="1:15" ht="14.45" customHeight="1">
      <c r="B5" s="151" t="s">
        <v>17</v>
      </c>
      <c r="C5" s="152"/>
      <c r="D5" s="152"/>
      <c r="E5" s="152"/>
      <c r="F5" s="153"/>
    </row>
    <row r="6" spans="1:15">
      <c r="B6" s="154"/>
      <c r="C6" s="155"/>
      <c r="D6" s="155"/>
      <c r="E6" s="155"/>
      <c r="F6" s="156"/>
      <c r="I6" s="13" t="e">
        <f ca="1">SUBSTITUTE(SUBSTITUTE(_xlfn.FORMULATEXT('Linear Fit'!F17), " ",""),"$","") = "=E17:E27*B26+B25"</f>
        <v>#N/A</v>
      </c>
      <c r="J6" s="13" t="b">
        <f ca="1">IFERROR(OR(SUBSTITUTE(SUBSTITUTE(_xlfn.FORMULATEXT('Linear Fit'!F17), " ",""),"$","") = "=E17:E27*B26+B25",SUBSTITUTE(SUBSTITUTE(_xlfn.FORMULATEXT('Linear Fit'!F17), " ",""),"$","") = "=B25+E17:E27*B26",SUBSTITUTE(SUBSTITUTE(_xlfn.FORMULATEXT('Linear Fit'!F17), " ",""),"$","") = "=B25+B26*E17:E27",SUBSTITUTE(SUBSTITUTE(_xlfn.FORMULATEXT('Linear Fit'!F17), " ",""),"$","") = "=B26*E17:E27+B25"),FALSE)</f>
        <v>0</v>
      </c>
    </row>
    <row r="7" spans="1:15">
      <c r="B7" s="154"/>
      <c r="C7" s="155"/>
      <c r="D7" s="155"/>
      <c r="E7" s="155"/>
      <c r="F7" s="156"/>
      <c r="I7" s="13" t="e">
        <f ca="1">SUBSTITUTE(SUBSTITUTE(_xlfn.FORMULATEXT('Linear Fit'!F17), " ",""),"$","") = "=B25+E17:E27*B26"</f>
        <v>#N/A</v>
      </c>
    </row>
    <row r="8" spans="1:15" ht="15.75" thickBot="1">
      <c r="B8" s="157"/>
      <c r="C8" s="158"/>
      <c r="D8" s="158"/>
      <c r="E8" s="158"/>
      <c r="F8" s="159"/>
      <c r="I8" s="13" t="e">
        <f ca="1">SUBSTITUTE(SUBSTITUTE(_xlfn.FORMULATEXT('Linear Fit'!F17), " ",""),"$","") = "=B25+B26*E17:E27"</f>
        <v>#N/A</v>
      </c>
    </row>
    <row r="9" spans="1:15" ht="15" customHeight="1" thickBot="1">
      <c r="I9" s="13" t="e">
        <f ca="1">SUBSTITUTE(SUBSTITUTE(_xlfn.FORMULATEXT('Linear Fit'!F17), " ",""),"$","") = "=B26*E17:E27+B25"</f>
        <v>#N/A</v>
      </c>
      <c r="M9" s="15"/>
      <c r="N9" s="15"/>
      <c r="O9" s="15"/>
    </row>
    <row r="10" spans="1:15">
      <c r="B10" s="160" t="s">
        <v>24</v>
      </c>
      <c r="C10" s="161"/>
      <c r="D10" s="16"/>
      <c r="E10" s="160" t="s">
        <v>25</v>
      </c>
      <c r="F10" s="161"/>
      <c r="I10" s="13" t="e">
        <f ca="1">OR(SUBSTITUTE(SUBSTITUTE(_xlfn.FORMULATEXT('Linear Fit'!F17), " ",""),"$","") = "=E17:E27*B26+B25",SUBSTITUTE(SUBSTITUTE(_xlfn.FORMULATEXT('Linear Fit'!F17), " ",""),"$","") = "=B25+E17:E27*B26",SUBSTITUTE(SUBSTITUTE(_xlfn.FORMULATEXT('Linear Fit'!F17), " ",""),"$","") = "=B25+B26*E17:E27",SUBSTITUTE(SUBSTITUTE(_xlfn.FORMULATEXT('Linear Fit'!F17), " ",""),"$","") = "=B26*E17:E27+B25")</f>
        <v>#N/A</v>
      </c>
    </row>
    <row r="11" spans="1:15">
      <c r="A11" s="17"/>
      <c r="B11" s="18" t="s">
        <v>26</v>
      </c>
      <c r="C11" s="19" t="s">
        <v>27</v>
      </c>
      <c r="E11" s="18" t="s">
        <v>26</v>
      </c>
      <c r="F11" s="19" t="s">
        <v>27</v>
      </c>
    </row>
    <row r="12" spans="1:15">
      <c r="A12" s="20"/>
      <c r="B12" s="21" t="str">
        <f>'Linear Fit'!B17</f>
        <v>Check F8</v>
      </c>
      <c r="C12" s="22" t="str">
        <f>'Linear Fit'!C17</f>
        <v>Check F8</v>
      </c>
      <c r="E12" s="23" t="str">
        <f>'Linear Fit'!E17</f>
        <v>Check F8</v>
      </c>
      <c r="F12" s="24" t="e">
        <f>B$21*E12+B$20</f>
        <v>#DIV/0!</v>
      </c>
      <c r="G12" s="13" t="b">
        <f ca="1">NOT(OR(I12:K12))</f>
        <v>0</v>
      </c>
      <c r="H12" s="31" t="b" cm="1">
        <f t="array" aca="1" ref="H12" ca="1">rangepred('Linear Fit'!F17)</f>
        <v>0</v>
      </c>
      <c r="I12" s="13" t="b">
        <f t="shared" ref="I12:I23" ca="1" si="0">H$23</f>
        <v>0</v>
      </c>
      <c r="J12" s="13" t="b">
        <f>_xlfn.ISFORMULA('Linear Fit'!F17)</f>
        <v>0</v>
      </c>
      <c r="K12" s="13" t="b">
        <f>ISBLANK('Linear Fit'!F17)</f>
        <v>1</v>
      </c>
    </row>
    <row r="13" spans="1:15">
      <c r="A13" s="17"/>
      <c r="B13" s="25" t="str">
        <f>'Linear Fit'!B18</f>
        <v>Check F8</v>
      </c>
      <c r="C13" s="22" t="str">
        <f>'Linear Fit'!C18</f>
        <v>Check F8</v>
      </c>
      <c r="E13" s="23" t="str">
        <f>'Linear Fit'!E18</f>
        <v>Check F8</v>
      </c>
      <c r="F13" s="24" t="e">
        <f t="shared" ref="F13:F22" si="1">B$21*E13+B$20</f>
        <v>#DIV/0!</v>
      </c>
      <c r="G13" s="13" t="b">
        <f t="shared" ref="G13:G22" ca="1" si="2">NOT(OR(I13:K13))</f>
        <v>0</v>
      </c>
      <c r="H13" s="13" t="b">
        <f>ISNUMBER('Linear Fit'!F18)</f>
        <v>0</v>
      </c>
      <c r="I13" s="13" t="b">
        <f t="shared" ca="1" si="0"/>
        <v>0</v>
      </c>
      <c r="J13" s="13" t="b">
        <f>_xlfn.ISFORMULA('Linear Fit'!F18)</f>
        <v>0</v>
      </c>
      <c r="K13" s="13" t="b">
        <f>ISBLANK('Linear Fit'!F18)</f>
        <v>1</v>
      </c>
    </row>
    <row r="14" spans="1:15">
      <c r="A14" s="17"/>
      <c r="B14" s="25" t="str">
        <f>'Linear Fit'!B19</f>
        <v>Check F8</v>
      </c>
      <c r="C14" s="22" t="str">
        <f>'Linear Fit'!C19</f>
        <v>Check F8</v>
      </c>
      <c r="E14" s="23" t="str">
        <f>'Linear Fit'!E19</f>
        <v>Check F8</v>
      </c>
      <c r="F14" s="24" t="e">
        <f t="shared" si="1"/>
        <v>#DIV/0!</v>
      </c>
      <c r="G14" s="13" t="b">
        <f t="shared" ca="1" si="2"/>
        <v>0</v>
      </c>
      <c r="H14" s="13" t="b">
        <f>ISNUMBER('Linear Fit'!F19)</f>
        <v>0</v>
      </c>
      <c r="I14" s="13" t="b">
        <f t="shared" ca="1" si="0"/>
        <v>0</v>
      </c>
      <c r="J14" s="13" t="b">
        <f>_xlfn.ISFORMULA('Linear Fit'!F19)</f>
        <v>0</v>
      </c>
      <c r="K14" s="13" t="b">
        <f>ISBLANK('Linear Fit'!F19)</f>
        <v>1</v>
      </c>
    </row>
    <row r="15" spans="1:15">
      <c r="B15" s="25" t="str">
        <f>'Linear Fit'!B20</f>
        <v>Check F8</v>
      </c>
      <c r="C15" s="22" t="str">
        <f>'Linear Fit'!C20</f>
        <v>Check F8</v>
      </c>
      <c r="E15" s="23" t="str">
        <f>'Linear Fit'!E20</f>
        <v>Check F8</v>
      </c>
      <c r="F15" s="24" t="e">
        <f t="shared" si="1"/>
        <v>#DIV/0!</v>
      </c>
      <c r="G15" s="13" t="b">
        <f t="shared" ca="1" si="2"/>
        <v>0</v>
      </c>
      <c r="H15" s="13" t="b">
        <f>ISNUMBER('Linear Fit'!F20)</f>
        <v>0</v>
      </c>
      <c r="I15" s="13" t="b">
        <f t="shared" ca="1" si="0"/>
        <v>0</v>
      </c>
      <c r="J15" s="13" t="b">
        <f>_xlfn.ISFORMULA('Linear Fit'!F20)</f>
        <v>0</v>
      </c>
      <c r="K15" s="13" t="b">
        <f>ISBLANK('Linear Fit'!F20)</f>
        <v>1</v>
      </c>
    </row>
    <row r="16" spans="1:15">
      <c r="B16" s="25" t="str">
        <f>'Linear Fit'!B21</f>
        <v>Check F8</v>
      </c>
      <c r="C16" s="22" t="str">
        <f>'Linear Fit'!C21</f>
        <v>Check F8</v>
      </c>
      <c r="E16" s="23" t="str">
        <f>'Linear Fit'!E21</f>
        <v>Check F8</v>
      </c>
      <c r="F16" s="24" t="e">
        <f t="shared" si="1"/>
        <v>#DIV/0!</v>
      </c>
      <c r="G16" s="13" t="b">
        <f t="shared" ca="1" si="2"/>
        <v>0</v>
      </c>
      <c r="H16" s="13" t="b">
        <f>ISNUMBER('Linear Fit'!F21)</f>
        <v>0</v>
      </c>
      <c r="I16" s="13" t="b">
        <f t="shared" ca="1" si="0"/>
        <v>0</v>
      </c>
      <c r="J16" s="13" t="b">
        <f>_xlfn.ISFORMULA('Linear Fit'!F21)</f>
        <v>0</v>
      </c>
      <c r="K16" s="13" t="b">
        <f>ISBLANK('Linear Fit'!F21)</f>
        <v>1</v>
      </c>
    </row>
    <row r="17" spans="2:11" ht="15.75" thickBot="1">
      <c r="B17" s="26" t="str">
        <f>'Linear Fit'!B22</f>
        <v>Check F8</v>
      </c>
      <c r="C17" s="22" t="str">
        <f>'Linear Fit'!C22</f>
        <v>Check F8</v>
      </c>
      <c r="E17" s="23" t="str">
        <f>'Linear Fit'!E22</f>
        <v>Check F8</v>
      </c>
      <c r="F17" s="24" t="e">
        <f t="shared" si="1"/>
        <v>#DIV/0!</v>
      </c>
      <c r="G17" s="13" t="b">
        <f t="shared" ca="1" si="2"/>
        <v>0</v>
      </c>
      <c r="H17" s="13" t="b">
        <f>ISNUMBER('Linear Fit'!F22)</f>
        <v>0</v>
      </c>
      <c r="I17" s="13" t="b">
        <f t="shared" ca="1" si="0"/>
        <v>0</v>
      </c>
      <c r="J17" s="13" t="b">
        <f>_xlfn.ISFORMULA('Linear Fit'!F22)</f>
        <v>0</v>
      </c>
      <c r="K17" s="13" t="b">
        <f>ISBLANK('Linear Fit'!F22)</f>
        <v>1</v>
      </c>
    </row>
    <row r="18" spans="2:11" ht="15.75" thickBot="1">
      <c r="E18" s="23" t="str">
        <f>'Linear Fit'!E23</f>
        <v>Check F8</v>
      </c>
      <c r="F18" s="24" t="e">
        <f t="shared" si="1"/>
        <v>#DIV/0!</v>
      </c>
      <c r="G18" s="13" t="b">
        <f t="shared" ca="1" si="2"/>
        <v>0</v>
      </c>
      <c r="H18" s="13" t="b">
        <f>ISNUMBER('Linear Fit'!F23)</f>
        <v>0</v>
      </c>
      <c r="I18" s="13" t="b">
        <f t="shared" ca="1" si="0"/>
        <v>0</v>
      </c>
      <c r="J18" s="13" t="b">
        <f>_xlfn.ISFORMULA('Linear Fit'!F23)</f>
        <v>0</v>
      </c>
      <c r="K18" s="13" t="b">
        <f>ISBLANK('Linear Fit'!F23)</f>
        <v>1</v>
      </c>
    </row>
    <row r="19" spans="2:11" ht="15.75" thickBot="1">
      <c r="B19" s="139" t="s">
        <v>29</v>
      </c>
      <c r="C19" s="140"/>
      <c r="E19" s="23" t="str">
        <f>'Linear Fit'!E24</f>
        <v>Check F8</v>
      </c>
      <c r="F19" s="24" t="e">
        <f t="shared" si="1"/>
        <v>#DIV/0!</v>
      </c>
      <c r="G19" s="13" t="b">
        <f t="shared" ca="1" si="2"/>
        <v>0</v>
      </c>
      <c r="H19" s="13" t="b">
        <f>ISNUMBER('Linear Fit'!F24)</f>
        <v>0</v>
      </c>
      <c r="I19" s="13" t="b">
        <f t="shared" ca="1" si="0"/>
        <v>0</v>
      </c>
      <c r="J19" s="13" t="b">
        <f>_xlfn.ISFORMULA('Linear Fit'!F24)</f>
        <v>0</v>
      </c>
      <c r="K19" s="13" t="b">
        <f>ISBLANK('Linear Fit'!F24)</f>
        <v>1</v>
      </c>
    </row>
    <row r="20" spans="2:11">
      <c r="B20" s="27" t="e">
        <f>INTERCEPT(C12:C17,B12:B17)</f>
        <v>#DIV/0!</v>
      </c>
      <c r="C20" s="13" t="b">
        <f>NOT(OR(_xlfn.ISFORMULA('Linear Fit'!B25),ISBLANK('Linear Fit'!B25)))</f>
        <v>0</v>
      </c>
      <c r="E20" s="23" t="str">
        <f>'Linear Fit'!E25</f>
        <v>Check F8</v>
      </c>
      <c r="F20" s="24" t="e">
        <f t="shared" si="1"/>
        <v>#DIV/0!</v>
      </c>
      <c r="G20" s="13" t="b">
        <f t="shared" ca="1" si="2"/>
        <v>0</v>
      </c>
      <c r="H20" s="13" t="b">
        <f>ISNUMBER('Linear Fit'!F25)</f>
        <v>0</v>
      </c>
      <c r="I20" s="13" t="b">
        <f t="shared" ca="1" si="0"/>
        <v>0</v>
      </c>
      <c r="J20" s="13" t="b">
        <f>_xlfn.ISFORMULA('Linear Fit'!F25)</f>
        <v>0</v>
      </c>
      <c r="K20" s="13" t="b">
        <f>ISBLANK('Linear Fit'!F25)</f>
        <v>1</v>
      </c>
    </row>
    <row r="21" spans="2:11" ht="15.75" thickBot="1">
      <c r="B21" s="28" t="e">
        <f>SLOPE(C12:C17,B12:B17)</f>
        <v>#DIV/0!</v>
      </c>
      <c r="C21" s="13" t="b">
        <f>NOT(OR(_xlfn.ISFORMULA('Linear Fit'!B26),ISBLANK('Linear Fit'!B26)))</f>
        <v>0</v>
      </c>
      <c r="E21" s="23" t="str">
        <f>'Linear Fit'!E26</f>
        <v>Check F8</v>
      </c>
      <c r="F21" s="24" t="e">
        <f t="shared" si="1"/>
        <v>#DIV/0!</v>
      </c>
      <c r="G21" s="13" t="b">
        <f t="shared" ca="1" si="2"/>
        <v>0</v>
      </c>
      <c r="H21" s="13" t="b">
        <f>ISNUMBER('Linear Fit'!F26)</f>
        <v>0</v>
      </c>
      <c r="I21" s="13" t="b">
        <f t="shared" ca="1" si="0"/>
        <v>0</v>
      </c>
      <c r="J21" s="13" t="b">
        <f>_xlfn.ISFORMULA('Linear Fit'!F26)</f>
        <v>0</v>
      </c>
      <c r="K21" s="13" t="b">
        <f>ISBLANK('Linear Fit'!F26)</f>
        <v>1</v>
      </c>
    </row>
    <row r="22" spans="2:11" ht="15.75" thickBot="1">
      <c r="E22" s="29" t="str">
        <f>'Linear Fit'!E27</f>
        <v>Check F8</v>
      </c>
      <c r="F22" s="24" t="e">
        <f t="shared" si="1"/>
        <v>#DIV/0!</v>
      </c>
      <c r="G22" s="13" t="b">
        <f t="shared" ca="1" si="2"/>
        <v>0</v>
      </c>
      <c r="H22" s="13" t="b">
        <f>ISNUMBER('Linear Fit'!F27)</f>
        <v>0</v>
      </c>
      <c r="I22" s="13" t="b">
        <f t="shared" ca="1" si="0"/>
        <v>0</v>
      </c>
      <c r="J22" s="13" t="b">
        <f>_xlfn.ISFORMULA('Linear Fit'!F27)</f>
        <v>0</v>
      </c>
      <c r="K22" s="13" t="b">
        <f>ISBLANK('Linear Fit'!F27)</f>
        <v>1</v>
      </c>
    </row>
    <row r="23" spans="2:11" ht="15.75" thickBot="1">
      <c r="B23" s="139" t="s">
        <v>32</v>
      </c>
      <c r="C23" s="140"/>
      <c r="E23" s="141" t="s">
        <v>33</v>
      </c>
      <c r="F23" s="142"/>
      <c r="H23" s="13" t="b">
        <f ca="1">AND(H12:H22)</f>
        <v>0</v>
      </c>
      <c r="I23" s="13" t="b">
        <f t="shared" ca="1" si="0"/>
        <v>0</v>
      </c>
    </row>
    <row r="24" spans="2:11" ht="15.75" thickBot="1">
      <c r="B24" s="145"/>
      <c r="C24" s="146"/>
      <c r="E24" s="143"/>
      <c r="F24" s="144"/>
    </row>
  </sheetData>
  <sheetProtection algorithmName="SHA-512" hashValue="NP8KfZBdrRoMbO4+6K5mYP0YLFWU9vooHr25DXKnzf2iWNfCPBeST5gJcYchWDz1uCvu2t4wrx5R4CXYPCjDLw==" saltValue="iJTkW+8OkP+1lMG5ccDKfw==" spinCount="100000" sheet="1" objects="1" scenarios="1"/>
  <mergeCells count="9">
    <mergeCell ref="B19:C19"/>
    <mergeCell ref="B23:C23"/>
    <mergeCell ref="E23:F24"/>
    <mergeCell ref="B24:C24"/>
    <mergeCell ref="B1:F2"/>
    <mergeCell ref="B3:E3"/>
    <mergeCell ref="B5:F8"/>
    <mergeCell ref="B10:C10"/>
    <mergeCell ref="E10:F10"/>
  </mergeCells>
  <hyperlinks>
    <hyperlink ref="B1:F2" r:id="rId1" display="Video for this." xr:uid="{2B7E6391-F078-42DE-A524-9DA0759D9D57}"/>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3362-47A8-4EAC-A04C-EF1DCF03C8B4}">
  <dimension ref="A1:W33"/>
  <sheetViews>
    <sheetView workbookViewId="0">
      <selection activeCell="C16" sqref="C16"/>
    </sheetView>
  </sheetViews>
  <sheetFormatPr defaultRowHeight="15"/>
  <cols>
    <col min="1" max="5" width="9.28515625" style="56" bestFit="1" customWidth="1"/>
    <col min="6" max="6" width="11.28515625" style="56" bestFit="1" customWidth="1"/>
    <col min="7" max="23" width="9.28515625" style="56" bestFit="1" customWidth="1"/>
    <col min="24" max="16384" width="9.140625" style="56"/>
  </cols>
  <sheetData>
    <row r="1" spans="1:23">
      <c r="H1" s="56">
        <v>1</v>
      </c>
      <c r="I1" s="56">
        <v>2</v>
      </c>
      <c r="J1" s="56">
        <v>3</v>
      </c>
      <c r="K1" s="56">
        <v>4</v>
      </c>
      <c r="L1" s="56">
        <v>5</v>
      </c>
      <c r="M1" s="56">
        <v>6</v>
      </c>
      <c r="N1" s="56">
        <v>7</v>
      </c>
      <c r="O1" s="56">
        <v>8</v>
      </c>
      <c r="P1" s="56">
        <v>9</v>
      </c>
      <c r="Q1" s="56">
        <v>10</v>
      </c>
      <c r="R1" s="56">
        <v>11</v>
      </c>
      <c r="S1" s="56">
        <v>12</v>
      </c>
      <c r="T1" s="56">
        <v>13</v>
      </c>
      <c r="U1" s="56">
        <v>14</v>
      </c>
      <c r="V1" s="56">
        <v>15</v>
      </c>
      <c r="W1" s="56">
        <v>16</v>
      </c>
    </row>
    <row r="2" spans="1:23">
      <c r="G2" s="56">
        <v>1</v>
      </c>
      <c r="H2" s="56">
        <v>2</v>
      </c>
      <c r="I2" s="56">
        <v>3</v>
      </c>
      <c r="J2" s="56">
        <v>5</v>
      </c>
      <c r="K2" s="56">
        <v>7</v>
      </c>
      <c r="L2" s="56">
        <v>11</v>
      </c>
      <c r="M2" s="56">
        <v>13</v>
      </c>
      <c r="N2" s="56">
        <v>17</v>
      </c>
      <c r="O2" s="56">
        <v>19</v>
      </c>
      <c r="P2" s="56">
        <v>23</v>
      </c>
      <c r="Q2" s="56">
        <v>29</v>
      </c>
      <c r="R2" s="56">
        <v>947</v>
      </c>
      <c r="S2" s="56">
        <v>953</v>
      </c>
      <c r="T2" s="56">
        <v>967</v>
      </c>
      <c r="U2" s="56">
        <v>971</v>
      </c>
      <c r="V2" s="56">
        <v>977</v>
      </c>
      <c r="W2" s="56">
        <v>983</v>
      </c>
    </row>
    <row r="3" spans="1:23">
      <c r="G3" s="56">
        <v>2</v>
      </c>
      <c r="H3" s="56">
        <v>31</v>
      </c>
      <c r="I3" s="56">
        <v>37</v>
      </c>
      <c r="J3" s="56">
        <v>41</v>
      </c>
      <c r="K3" s="56">
        <v>43</v>
      </c>
      <c r="L3" s="56">
        <v>47</v>
      </c>
      <c r="M3" s="56">
        <v>53</v>
      </c>
      <c r="N3" s="56">
        <v>59</v>
      </c>
      <c r="O3" s="56">
        <v>61</v>
      </c>
      <c r="P3" s="56">
        <v>67</v>
      </c>
      <c r="Q3" s="56">
        <v>71</v>
      </c>
      <c r="R3" s="56">
        <v>991</v>
      </c>
      <c r="S3" s="56">
        <v>997</v>
      </c>
      <c r="T3" s="56">
        <v>1009</v>
      </c>
      <c r="U3" s="56">
        <v>1013</v>
      </c>
      <c r="V3" s="56">
        <v>1019</v>
      </c>
      <c r="W3" s="56">
        <v>1021</v>
      </c>
    </row>
    <row r="4" spans="1:23">
      <c r="G4" s="56">
        <v>3</v>
      </c>
      <c r="H4" s="56">
        <v>73</v>
      </c>
      <c r="I4" s="56">
        <v>79</v>
      </c>
      <c r="J4" s="56">
        <v>83</v>
      </c>
      <c r="K4" s="56">
        <v>89</v>
      </c>
      <c r="L4" s="56">
        <v>97</v>
      </c>
      <c r="M4" s="56">
        <v>101</v>
      </c>
      <c r="N4" s="56">
        <v>103</v>
      </c>
      <c r="O4" s="56">
        <v>107</v>
      </c>
      <c r="P4" s="56">
        <v>109</v>
      </c>
      <c r="Q4" s="56">
        <v>113</v>
      </c>
      <c r="R4" s="56">
        <v>1031</v>
      </c>
      <c r="S4" s="56">
        <v>1033</v>
      </c>
      <c r="T4" s="56">
        <v>1039</v>
      </c>
      <c r="U4" s="56">
        <v>1049</v>
      </c>
      <c r="V4" s="56">
        <v>1051</v>
      </c>
      <c r="W4" s="56">
        <v>1061</v>
      </c>
    </row>
    <row r="5" spans="1:23">
      <c r="G5" s="56">
        <v>4</v>
      </c>
      <c r="H5" s="56">
        <v>127</v>
      </c>
      <c r="I5" s="56">
        <v>131</v>
      </c>
      <c r="J5" s="56">
        <v>137</v>
      </c>
      <c r="K5" s="56">
        <v>139</v>
      </c>
      <c r="L5" s="56">
        <v>149</v>
      </c>
      <c r="M5" s="56">
        <v>151</v>
      </c>
      <c r="N5" s="56">
        <v>157</v>
      </c>
      <c r="O5" s="56">
        <v>163</v>
      </c>
      <c r="P5" s="56">
        <v>167</v>
      </c>
      <c r="Q5" s="56">
        <v>173</v>
      </c>
      <c r="R5" s="56">
        <v>1993</v>
      </c>
      <c r="S5" s="56">
        <v>1997</v>
      </c>
      <c r="T5" s="56">
        <v>1999</v>
      </c>
      <c r="U5" s="56">
        <v>2003</v>
      </c>
      <c r="V5" s="56">
        <v>2011</v>
      </c>
      <c r="W5" s="56">
        <v>2017</v>
      </c>
    </row>
    <row r="6" spans="1:23">
      <c r="A6" s="56">
        <v>1</v>
      </c>
      <c r="B6" s="56">
        <f>CODE(MID('Linear Fit'!F$8,A6,1))</f>
        <v>89</v>
      </c>
      <c r="C6" s="56">
        <f>MOD(B6,16)</f>
        <v>9</v>
      </c>
      <c r="D6" s="56">
        <f>MOD((B6-C6)/16,16)</f>
        <v>5</v>
      </c>
      <c r="E6" s="56">
        <f ca="1">INDIRECT("R"&amp;(C6+1)&amp;"C"&amp;(D6+7),0)</f>
        <v>439</v>
      </c>
      <c r="G6" s="56">
        <v>5</v>
      </c>
      <c r="H6" s="56">
        <v>179</v>
      </c>
      <c r="I6" s="56">
        <v>181</v>
      </c>
      <c r="J6" s="56">
        <v>191</v>
      </c>
      <c r="K6" s="56">
        <v>193</v>
      </c>
      <c r="L6" s="56">
        <v>197</v>
      </c>
      <c r="M6" s="56">
        <v>199</v>
      </c>
      <c r="N6" s="56">
        <v>211</v>
      </c>
      <c r="O6" s="56">
        <v>223</v>
      </c>
      <c r="P6" s="56">
        <v>227</v>
      </c>
      <c r="Q6" s="56">
        <v>229</v>
      </c>
      <c r="R6" s="56">
        <v>2063</v>
      </c>
      <c r="S6" s="56">
        <v>2069</v>
      </c>
      <c r="T6" s="56">
        <v>2081</v>
      </c>
      <c r="U6" s="56">
        <v>2083</v>
      </c>
      <c r="V6" s="56">
        <v>2087</v>
      </c>
      <c r="W6" s="56">
        <v>2089</v>
      </c>
    </row>
    <row r="7" spans="1:23">
      <c r="A7" s="56">
        <v>2</v>
      </c>
      <c r="B7" s="56">
        <f>CODE(MID('Linear Fit'!F$8,A7,1))</f>
        <v>111</v>
      </c>
      <c r="C7" s="56">
        <f t="shared" ref="C7:C10" si="0">MOD(B7,16)</f>
        <v>15</v>
      </c>
      <c r="D7" s="56">
        <f t="shared" ref="D7:D10" si="1">MOD((B7-C7)/16,16)</f>
        <v>6</v>
      </c>
      <c r="E7" s="56">
        <f t="shared" ref="E7:E10" ca="1" si="2">INDIRECT("R"&amp;(C7+1)&amp;"C"&amp;(D7+7),0)</f>
        <v>839</v>
      </c>
      <c r="G7" s="56">
        <v>6</v>
      </c>
      <c r="H7" s="56">
        <v>233</v>
      </c>
      <c r="I7" s="56">
        <v>239</v>
      </c>
      <c r="J7" s="56">
        <v>241</v>
      </c>
      <c r="K7" s="56">
        <v>251</v>
      </c>
      <c r="L7" s="56">
        <v>257</v>
      </c>
      <c r="M7" s="56">
        <v>263</v>
      </c>
      <c r="N7" s="56">
        <v>269</v>
      </c>
      <c r="O7" s="56">
        <v>271</v>
      </c>
      <c r="P7" s="56">
        <v>277</v>
      </c>
      <c r="Q7" s="56">
        <v>281</v>
      </c>
      <c r="R7" s="56">
        <v>2131</v>
      </c>
      <c r="S7" s="56">
        <v>2137</v>
      </c>
      <c r="T7" s="56">
        <v>2141</v>
      </c>
      <c r="U7" s="56">
        <v>2143</v>
      </c>
      <c r="V7" s="56">
        <v>2153</v>
      </c>
      <c r="W7" s="56">
        <v>2161</v>
      </c>
    </row>
    <row r="8" spans="1:23">
      <c r="A8" s="56">
        <v>3</v>
      </c>
      <c r="B8" s="56">
        <f>CODE(MID('Linear Fit'!F$8,A8,1))</f>
        <v>117</v>
      </c>
      <c r="C8" s="56">
        <f t="shared" si="0"/>
        <v>5</v>
      </c>
      <c r="D8" s="56">
        <f t="shared" si="1"/>
        <v>7</v>
      </c>
      <c r="E8" s="56">
        <f t="shared" ca="1" si="2"/>
        <v>211</v>
      </c>
      <c r="G8" s="56">
        <v>7</v>
      </c>
      <c r="H8" s="56">
        <v>283</v>
      </c>
      <c r="I8" s="56">
        <v>293</v>
      </c>
      <c r="J8" s="56">
        <v>307</v>
      </c>
      <c r="K8" s="56">
        <v>311</v>
      </c>
      <c r="L8" s="56">
        <v>313</v>
      </c>
      <c r="M8" s="56">
        <v>317</v>
      </c>
      <c r="N8" s="56">
        <v>331</v>
      </c>
      <c r="O8" s="56">
        <v>337</v>
      </c>
      <c r="P8" s="56">
        <v>347</v>
      </c>
      <c r="Q8" s="56">
        <v>349</v>
      </c>
      <c r="R8" s="56">
        <v>2221</v>
      </c>
      <c r="S8" s="56">
        <v>2237</v>
      </c>
      <c r="T8" s="56">
        <v>2239</v>
      </c>
      <c r="U8" s="56">
        <v>2243</v>
      </c>
      <c r="V8" s="56">
        <v>2251</v>
      </c>
      <c r="W8" s="56">
        <v>2267</v>
      </c>
    </row>
    <row r="9" spans="1:23">
      <c r="A9" s="56">
        <v>4</v>
      </c>
      <c r="B9" s="56">
        <f>CODE(MID('Linear Fit'!F$8,A9,1))</f>
        <v>114</v>
      </c>
      <c r="C9" s="56">
        <f t="shared" si="0"/>
        <v>2</v>
      </c>
      <c r="D9" s="56">
        <f t="shared" si="1"/>
        <v>7</v>
      </c>
      <c r="E9" s="56">
        <f t="shared" ca="1" si="2"/>
        <v>59</v>
      </c>
      <c r="G9" s="56">
        <v>8</v>
      </c>
      <c r="H9" s="56">
        <v>353</v>
      </c>
      <c r="I9" s="56">
        <v>359</v>
      </c>
      <c r="J9" s="56">
        <v>367</v>
      </c>
      <c r="K9" s="56">
        <v>373</v>
      </c>
      <c r="L9" s="56">
        <v>379</v>
      </c>
      <c r="M9" s="56">
        <v>383</v>
      </c>
      <c r="N9" s="56">
        <v>389</v>
      </c>
      <c r="O9" s="56">
        <v>397</v>
      </c>
      <c r="P9" s="56">
        <v>401</v>
      </c>
      <c r="Q9" s="56">
        <v>409</v>
      </c>
      <c r="R9" s="56">
        <v>2293</v>
      </c>
      <c r="S9" s="56">
        <v>2297</v>
      </c>
      <c r="T9" s="56">
        <v>2309</v>
      </c>
      <c r="U9" s="56">
        <v>2311</v>
      </c>
      <c r="V9" s="56">
        <v>2333</v>
      </c>
      <c r="W9" s="56">
        <v>2339</v>
      </c>
    </row>
    <row r="10" spans="1:23">
      <c r="A10" s="56">
        <v>5</v>
      </c>
      <c r="B10" s="56">
        <f>CODE(MID('Linear Fit'!F$8,A10,1))</f>
        <v>32</v>
      </c>
      <c r="C10" s="56">
        <f t="shared" si="0"/>
        <v>0</v>
      </c>
      <c r="D10" s="56">
        <f t="shared" si="1"/>
        <v>2</v>
      </c>
      <c r="E10" s="56">
        <f t="shared" ca="1" si="2"/>
        <v>2</v>
      </c>
      <c r="G10" s="56">
        <v>9</v>
      </c>
      <c r="H10" s="56">
        <v>419</v>
      </c>
      <c r="I10" s="56">
        <v>421</v>
      </c>
      <c r="J10" s="56">
        <v>431</v>
      </c>
      <c r="K10" s="56">
        <v>433</v>
      </c>
      <c r="L10" s="56">
        <v>439</v>
      </c>
      <c r="M10" s="56">
        <v>443</v>
      </c>
      <c r="N10" s="56">
        <v>449</v>
      </c>
      <c r="O10" s="56">
        <v>457</v>
      </c>
      <c r="P10" s="56">
        <v>461</v>
      </c>
      <c r="Q10" s="56">
        <v>463</v>
      </c>
      <c r="R10" s="56">
        <v>2371</v>
      </c>
      <c r="S10" s="56">
        <v>2377</v>
      </c>
      <c r="T10" s="56">
        <v>2381</v>
      </c>
      <c r="U10" s="56">
        <v>2383</v>
      </c>
      <c r="V10" s="56">
        <v>2389</v>
      </c>
      <c r="W10" s="56">
        <v>2393</v>
      </c>
    </row>
    <row r="11" spans="1:23">
      <c r="A11" s="56" t="s">
        <v>34</v>
      </c>
      <c r="B11" s="56">
        <f ca="1">MOD(PRODUCT(E6:E10),F13)</f>
        <v>3778</v>
      </c>
      <c r="F11" s="56">
        <v>1103515245</v>
      </c>
      <c r="G11" s="56">
        <v>10</v>
      </c>
      <c r="H11" s="56">
        <v>467</v>
      </c>
      <c r="I11" s="56">
        <v>479</v>
      </c>
      <c r="J11" s="56">
        <v>487</v>
      </c>
      <c r="K11" s="56">
        <v>491</v>
      </c>
      <c r="L11" s="56">
        <v>499</v>
      </c>
      <c r="M11" s="56">
        <v>503</v>
      </c>
      <c r="N11" s="56">
        <v>509</v>
      </c>
      <c r="O11" s="56">
        <v>521</v>
      </c>
      <c r="P11" s="56">
        <v>523</v>
      </c>
      <c r="Q11" s="56">
        <v>541</v>
      </c>
      <c r="R11" s="56">
        <v>2437</v>
      </c>
      <c r="S11" s="56">
        <v>2441</v>
      </c>
      <c r="T11" s="56">
        <v>2447</v>
      </c>
      <c r="U11" s="56">
        <v>2459</v>
      </c>
      <c r="V11" s="56">
        <v>2467</v>
      </c>
      <c r="W11" s="56">
        <v>2473</v>
      </c>
    </row>
    <row r="12" spans="1:23">
      <c r="A12" s="56" t="s">
        <v>35</v>
      </c>
      <c r="B12" s="56">
        <f ca="1">MOD(B11*F11+F12,F13)</f>
        <v>5331</v>
      </c>
      <c r="C12" s="56">
        <f ca="1">MOD(B12,2)</f>
        <v>1</v>
      </c>
      <c r="D12" s="56">
        <f ca="1">B12/F$13</f>
        <v>0.162689208984375</v>
      </c>
      <c r="E12" s="56">
        <f ca="1">(IF(D12&lt;0.25,0,IF(D12&lt;0.5,1,IF(D12&lt;0.75,3,4)))+1)*IF(C12=1,1,-1)</f>
        <v>1</v>
      </c>
      <c r="F12" s="56">
        <v>12345</v>
      </c>
      <c r="G12" s="56">
        <v>11</v>
      </c>
      <c r="H12" s="56">
        <v>547</v>
      </c>
      <c r="I12" s="56">
        <v>557</v>
      </c>
      <c r="J12" s="56">
        <v>563</v>
      </c>
      <c r="K12" s="56">
        <v>569</v>
      </c>
      <c r="L12" s="56">
        <v>571</v>
      </c>
      <c r="M12" s="56">
        <v>577</v>
      </c>
      <c r="N12" s="56">
        <v>587</v>
      </c>
      <c r="O12" s="56">
        <v>593</v>
      </c>
      <c r="P12" s="56">
        <v>599</v>
      </c>
      <c r="Q12" s="56">
        <v>601</v>
      </c>
      <c r="R12" s="56">
        <v>2539</v>
      </c>
      <c r="S12" s="56">
        <v>2543</v>
      </c>
      <c r="T12" s="56">
        <v>2549</v>
      </c>
      <c r="U12" s="56">
        <v>2551</v>
      </c>
      <c r="V12" s="56">
        <v>2557</v>
      </c>
      <c r="W12" s="56">
        <v>2579</v>
      </c>
    </row>
    <row r="13" spans="1:23">
      <c r="A13" s="56" t="s">
        <v>36</v>
      </c>
      <c r="B13" s="57">
        <f t="shared" ref="B13:B33" ca="1" si="3">MOD(B12*F$11+F$12,F$13)</f>
        <v>22544</v>
      </c>
      <c r="C13" s="56">
        <f t="shared" ref="C13:C33" ca="1" si="4">IF(D13&lt;0.5,0,1)</f>
        <v>1</v>
      </c>
      <c r="D13" s="56">
        <f t="shared" ref="D13:D33" ca="1" si="5">B13/F$13</f>
        <v>0.68798828125</v>
      </c>
      <c r="E13" s="56">
        <f t="shared" ref="E13:E33" ca="1" si="6">(IF(D13&lt;0.25,0,IF(D13&lt;0.5,1,IF(D13&lt;0.75,3,4)))+1)*IF(C13=1,1,-1)</f>
        <v>4</v>
      </c>
      <c r="F13" s="56">
        <v>32768</v>
      </c>
      <c r="G13" s="56">
        <v>12</v>
      </c>
      <c r="H13" s="56">
        <v>607</v>
      </c>
      <c r="I13" s="56">
        <v>613</v>
      </c>
      <c r="J13" s="56">
        <v>617</v>
      </c>
      <c r="K13" s="56">
        <v>619</v>
      </c>
      <c r="L13" s="56">
        <v>631</v>
      </c>
      <c r="M13" s="56">
        <v>641</v>
      </c>
      <c r="N13" s="56">
        <v>643</v>
      </c>
      <c r="O13" s="56">
        <v>647</v>
      </c>
      <c r="P13" s="56">
        <v>653</v>
      </c>
      <c r="Q13" s="56">
        <v>659</v>
      </c>
      <c r="R13" s="56">
        <v>2621</v>
      </c>
      <c r="S13" s="56">
        <v>2633</v>
      </c>
      <c r="T13" s="56">
        <v>2647</v>
      </c>
      <c r="U13" s="56">
        <v>2657</v>
      </c>
      <c r="V13" s="56">
        <v>2659</v>
      </c>
      <c r="W13" s="56">
        <v>2663</v>
      </c>
    </row>
    <row r="14" spans="1:23">
      <c r="A14" s="56" t="s">
        <v>37</v>
      </c>
      <c r="B14" s="57">
        <f t="shared" ca="1" si="3"/>
        <v>3849</v>
      </c>
      <c r="C14" s="56">
        <f t="shared" ca="1" si="4"/>
        <v>0</v>
      </c>
      <c r="D14" s="56">
        <f t="shared" ca="1" si="5"/>
        <v>0.117462158203125</v>
      </c>
      <c r="E14" s="56">
        <f t="shared" ca="1" si="6"/>
        <v>-1</v>
      </c>
      <c r="G14" s="56">
        <v>13</v>
      </c>
      <c r="H14" s="56">
        <v>661</v>
      </c>
      <c r="I14" s="56">
        <v>673</v>
      </c>
      <c r="J14" s="56">
        <v>677</v>
      </c>
      <c r="K14" s="56">
        <v>683</v>
      </c>
      <c r="L14" s="56">
        <v>691</v>
      </c>
      <c r="M14" s="56">
        <v>701</v>
      </c>
      <c r="N14" s="56">
        <v>709</v>
      </c>
      <c r="O14" s="56">
        <v>719</v>
      </c>
      <c r="P14" s="56">
        <v>727</v>
      </c>
      <c r="Q14" s="56">
        <v>733</v>
      </c>
      <c r="R14" s="56">
        <v>2689</v>
      </c>
      <c r="S14" s="56">
        <v>2693</v>
      </c>
      <c r="T14" s="56">
        <v>2699</v>
      </c>
      <c r="U14" s="56">
        <v>2707</v>
      </c>
      <c r="V14" s="56">
        <v>2711</v>
      </c>
      <c r="W14" s="56">
        <v>2713</v>
      </c>
    </row>
    <row r="15" spans="1:23">
      <c r="A15" s="56" t="s">
        <v>38</v>
      </c>
      <c r="B15" s="57">
        <f t="shared" ca="1" si="3"/>
        <v>21774</v>
      </c>
      <c r="C15" s="56">
        <f t="shared" ca="1" si="4"/>
        <v>1</v>
      </c>
      <c r="D15" s="56">
        <f t="shared" ca="1" si="5"/>
        <v>0.66448974609375</v>
      </c>
      <c r="E15" s="56">
        <f t="shared" ca="1" si="6"/>
        <v>4</v>
      </c>
      <c r="G15" s="56">
        <v>14</v>
      </c>
      <c r="H15" s="56">
        <v>739</v>
      </c>
      <c r="I15" s="56">
        <v>743</v>
      </c>
      <c r="J15" s="56">
        <v>751</v>
      </c>
      <c r="K15" s="56">
        <v>757</v>
      </c>
      <c r="L15" s="56">
        <v>761</v>
      </c>
      <c r="M15" s="56">
        <v>769</v>
      </c>
      <c r="N15" s="56">
        <v>773</v>
      </c>
      <c r="O15" s="56">
        <v>787</v>
      </c>
      <c r="P15" s="56">
        <v>797</v>
      </c>
      <c r="Q15" s="56">
        <v>809</v>
      </c>
      <c r="R15" s="56">
        <v>2749</v>
      </c>
      <c r="S15" s="56">
        <v>2753</v>
      </c>
      <c r="T15" s="56">
        <v>2767</v>
      </c>
      <c r="U15" s="56">
        <v>2777</v>
      </c>
      <c r="V15" s="56">
        <v>2789</v>
      </c>
      <c r="W15" s="56">
        <v>2791</v>
      </c>
    </row>
    <row r="16" spans="1:23">
      <c r="A16" s="56" t="s">
        <v>39</v>
      </c>
      <c r="B16" s="57">
        <f t="shared" ca="1" si="3"/>
        <v>11055</v>
      </c>
      <c r="C16" s="56">
        <f t="shared" ca="1" si="4"/>
        <v>0</v>
      </c>
      <c r="D16" s="56">
        <f t="shared" ca="1" si="5"/>
        <v>0.337371826171875</v>
      </c>
      <c r="E16" s="56">
        <f t="shared" ca="1" si="6"/>
        <v>-2</v>
      </c>
      <c r="G16" s="56">
        <v>15</v>
      </c>
      <c r="H16" s="56">
        <v>811</v>
      </c>
      <c r="I16" s="56">
        <v>821</v>
      </c>
      <c r="J16" s="56">
        <v>823</v>
      </c>
      <c r="K16" s="56">
        <v>827</v>
      </c>
      <c r="L16" s="56">
        <v>829</v>
      </c>
      <c r="M16" s="56">
        <v>839</v>
      </c>
      <c r="N16" s="56">
        <v>853</v>
      </c>
      <c r="O16" s="56">
        <v>857</v>
      </c>
      <c r="P16" s="56">
        <v>859</v>
      </c>
      <c r="Q16" s="56">
        <v>863</v>
      </c>
      <c r="R16" s="56">
        <v>2833</v>
      </c>
      <c r="S16" s="56">
        <v>2837</v>
      </c>
      <c r="T16" s="56">
        <v>2843</v>
      </c>
      <c r="U16" s="56">
        <v>2851</v>
      </c>
      <c r="V16" s="56">
        <v>2857</v>
      </c>
      <c r="W16" s="56">
        <v>2861</v>
      </c>
    </row>
    <row r="17" spans="1:23">
      <c r="A17" s="56" t="s">
        <v>40</v>
      </c>
      <c r="B17" s="57">
        <f t="shared" ca="1" si="3"/>
        <v>25916</v>
      </c>
      <c r="C17" s="56">
        <f t="shared" ca="1" si="4"/>
        <v>1</v>
      </c>
      <c r="D17" s="56">
        <f t="shared" ca="1" si="5"/>
        <v>0.7908935546875</v>
      </c>
      <c r="E17" s="56">
        <f t="shared" ca="1" si="6"/>
        <v>5</v>
      </c>
      <c r="G17" s="56">
        <v>16</v>
      </c>
      <c r="H17" s="56">
        <v>877</v>
      </c>
      <c r="I17" s="56">
        <v>881</v>
      </c>
      <c r="J17" s="56">
        <v>883</v>
      </c>
      <c r="K17" s="56">
        <v>887</v>
      </c>
      <c r="L17" s="56">
        <v>907</v>
      </c>
      <c r="M17" s="56">
        <v>911</v>
      </c>
      <c r="N17" s="56">
        <v>919</v>
      </c>
      <c r="O17" s="56">
        <v>929</v>
      </c>
      <c r="P17" s="56">
        <v>937</v>
      </c>
      <c r="Q17" s="56">
        <v>941</v>
      </c>
      <c r="R17" s="56">
        <v>2909</v>
      </c>
      <c r="S17" s="56">
        <v>2917</v>
      </c>
      <c r="T17" s="56">
        <v>2927</v>
      </c>
      <c r="U17" s="56">
        <v>2939</v>
      </c>
      <c r="V17" s="56">
        <v>2953</v>
      </c>
      <c r="W17" s="56">
        <v>2957</v>
      </c>
    </row>
    <row r="18" spans="1:23">
      <c r="A18" s="56" t="s">
        <v>41</v>
      </c>
      <c r="B18" s="57">
        <f t="shared" ca="1" si="3"/>
        <v>4805</v>
      </c>
      <c r="C18" s="56">
        <f t="shared" ca="1" si="4"/>
        <v>0</v>
      </c>
      <c r="D18" s="56">
        <f t="shared" ca="1" si="5"/>
        <v>0.146636962890625</v>
      </c>
      <c r="E18" s="56">
        <f t="shared" ca="1" si="6"/>
        <v>-1</v>
      </c>
    </row>
    <row r="19" spans="1:23">
      <c r="A19" s="56" t="s">
        <v>42</v>
      </c>
      <c r="B19" s="57">
        <f t="shared" ca="1" si="3"/>
        <v>13338</v>
      </c>
      <c r="C19" s="56">
        <f t="shared" ca="1" si="4"/>
        <v>0</v>
      </c>
      <c r="D19" s="56">
        <f t="shared" ca="1" si="5"/>
        <v>0.40704345703125</v>
      </c>
      <c r="E19" s="56">
        <f t="shared" ca="1" si="6"/>
        <v>-2</v>
      </c>
    </row>
    <row r="20" spans="1:23">
      <c r="A20" s="56" t="s">
        <v>43</v>
      </c>
      <c r="B20" s="57">
        <f t="shared" ca="1" si="3"/>
        <v>19275</v>
      </c>
      <c r="C20" s="56">
        <f t="shared" ca="1" si="4"/>
        <v>1</v>
      </c>
      <c r="D20" s="56">
        <f t="shared" ca="1" si="5"/>
        <v>0.588226318359375</v>
      </c>
      <c r="E20" s="56">
        <f t="shared" ca="1" si="6"/>
        <v>4</v>
      </c>
      <c r="H20" s="56">
        <f ca="1">10+SUM(E$12:E13)</f>
        <v>15</v>
      </c>
      <c r="I20" s="56">
        <f ca="1">IF(H20&gt;=0,H20,-H20)</f>
        <v>15</v>
      </c>
    </row>
    <row r="21" spans="1:23">
      <c r="A21" s="56" t="s">
        <v>44</v>
      </c>
      <c r="B21" s="57">
        <f t="shared" ca="1" si="3"/>
        <v>6440</v>
      </c>
      <c r="C21" s="56">
        <f t="shared" ca="1" si="4"/>
        <v>0</v>
      </c>
      <c r="D21" s="56">
        <f t="shared" ca="1" si="5"/>
        <v>0.196533203125</v>
      </c>
      <c r="E21" s="56">
        <f t="shared" ca="1" si="6"/>
        <v>-1</v>
      </c>
      <c r="H21" s="56">
        <f ca="1">10+SUM(E$12:E14)</f>
        <v>14</v>
      </c>
      <c r="I21" s="56">
        <f t="shared" ref="I21:I29" ca="1" si="7">IF(H21&gt;=0,H21,-H21)</f>
        <v>14</v>
      </c>
    </row>
    <row r="22" spans="1:23">
      <c r="A22" s="56" t="s">
        <v>45</v>
      </c>
      <c r="B22" s="57">
        <f t="shared" ca="1" si="3"/>
        <v>5697</v>
      </c>
      <c r="C22" s="56">
        <f t="shared" ca="1" si="4"/>
        <v>0</v>
      </c>
      <c r="D22" s="56">
        <f t="shared" ca="1" si="5"/>
        <v>0.173858642578125</v>
      </c>
      <c r="E22" s="56">
        <f t="shared" ca="1" si="6"/>
        <v>-1</v>
      </c>
      <c r="H22" s="56">
        <f ca="1">10+SUM(E$12:E15)</f>
        <v>18</v>
      </c>
      <c r="I22" s="56">
        <f t="shared" ca="1" si="7"/>
        <v>18</v>
      </c>
      <c r="M22" s="57"/>
    </row>
    <row r="23" spans="1:23">
      <c r="A23" s="56" t="s">
        <v>46</v>
      </c>
      <c r="B23" s="57">
        <f t="shared" ca="1" si="3"/>
        <v>30694</v>
      </c>
      <c r="C23" s="56">
        <f t="shared" ca="1" si="4"/>
        <v>1</v>
      </c>
      <c r="D23" s="56">
        <f t="shared" ca="1" si="5"/>
        <v>0.93670654296875</v>
      </c>
      <c r="E23" s="56">
        <f t="shared" ca="1" si="6"/>
        <v>5</v>
      </c>
      <c r="H23" s="56">
        <f ca="1">10+SUM(E$12:E16)</f>
        <v>16</v>
      </c>
      <c r="I23" s="56">
        <f t="shared" ca="1" si="7"/>
        <v>16</v>
      </c>
      <c r="M23" s="57"/>
    </row>
    <row r="24" spans="1:23">
      <c r="A24" s="56" t="s">
        <v>47</v>
      </c>
      <c r="B24" s="57">
        <f t="shared" ca="1" si="3"/>
        <v>20775</v>
      </c>
      <c r="C24" s="56">
        <f t="shared" ca="1" si="4"/>
        <v>1</v>
      </c>
      <c r="D24" s="56">
        <f t="shared" ca="1" si="5"/>
        <v>0.634002685546875</v>
      </c>
      <c r="E24" s="56">
        <f t="shared" ca="1" si="6"/>
        <v>4</v>
      </c>
      <c r="H24" s="56">
        <f ca="1">10+SUM(E$12:E17)</f>
        <v>21</v>
      </c>
      <c r="I24" s="56">
        <f t="shared" ca="1" si="7"/>
        <v>21</v>
      </c>
      <c r="M24" s="57"/>
    </row>
    <row r="25" spans="1:23">
      <c r="A25" s="56" t="s">
        <v>48</v>
      </c>
      <c r="B25" s="57">
        <f t="shared" ca="1" si="3"/>
        <v>8148</v>
      </c>
      <c r="C25" s="56">
        <f t="shared" ca="1" si="4"/>
        <v>0</v>
      </c>
      <c r="D25" s="56">
        <f t="shared" ca="1" si="5"/>
        <v>0.2486572265625</v>
      </c>
      <c r="E25" s="56">
        <f t="shared" ca="1" si="6"/>
        <v>-1</v>
      </c>
      <c r="H25" s="56">
        <f ca="1">10+SUM(E$12:E18)</f>
        <v>20</v>
      </c>
      <c r="I25" s="56">
        <f t="shared" ca="1" si="7"/>
        <v>20</v>
      </c>
      <c r="M25" s="57"/>
    </row>
    <row r="26" spans="1:23">
      <c r="A26" s="56" t="s">
        <v>49</v>
      </c>
      <c r="B26" s="57">
        <f t="shared" ca="1" si="3"/>
        <v>21885</v>
      </c>
      <c r="C26" s="56">
        <f t="shared" ca="1" si="4"/>
        <v>1</v>
      </c>
      <c r="D26" s="56">
        <f t="shared" ca="1" si="5"/>
        <v>0.667877197265625</v>
      </c>
      <c r="E26" s="56">
        <f t="shared" ca="1" si="6"/>
        <v>4</v>
      </c>
      <c r="H26" s="56">
        <f ca="1">10+SUM(E$12:E19)</f>
        <v>18</v>
      </c>
      <c r="I26" s="56">
        <f t="shared" ca="1" si="7"/>
        <v>18</v>
      </c>
      <c r="M26" s="57"/>
    </row>
    <row r="27" spans="1:23">
      <c r="A27" s="56" t="s">
        <v>50</v>
      </c>
      <c r="B27" s="57">
        <f t="shared" ca="1" si="3"/>
        <v>11378</v>
      </c>
      <c r="C27" s="56">
        <f t="shared" ca="1" si="4"/>
        <v>0</v>
      </c>
      <c r="D27" s="56">
        <f t="shared" ca="1" si="5"/>
        <v>0.34722900390625</v>
      </c>
      <c r="E27" s="56">
        <f t="shared" ca="1" si="6"/>
        <v>-2</v>
      </c>
      <c r="H27" s="56">
        <f ca="1">10+SUM(E$12:E20)</f>
        <v>22</v>
      </c>
      <c r="I27" s="56">
        <f t="shared" ca="1" si="7"/>
        <v>22</v>
      </c>
      <c r="M27" s="57"/>
    </row>
    <row r="28" spans="1:23">
      <c r="A28" s="56" t="s">
        <v>51</v>
      </c>
      <c r="B28" s="57">
        <f t="shared" ca="1" si="3"/>
        <v>22723</v>
      </c>
      <c r="C28" s="56">
        <f t="shared" ca="1" si="4"/>
        <v>1</v>
      </c>
      <c r="D28" s="56">
        <f t="shared" ca="1" si="5"/>
        <v>0.693450927734375</v>
      </c>
      <c r="E28" s="56">
        <f t="shared" ca="1" si="6"/>
        <v>4</v>
      </c>
      <c r="H28" s="56">
        <f ca="1">10+SUM(E$12:E21)</f>
        <v>21</v>
      </c>
      <c r="I28" s="56">
        <f t="shared" ca="1" si="7"/>
        <v>21</v>
      </c>
      <c r="M28" s="57"/>
    </row>
    <row r="29" spans="1:23">
      <c r="A29" s="56" t="s">
        <v>52</v>
      </c>
      <c r="B29" s="57">
        <f t="shared" ca="1" si="3"/>
        <v>25920</v>
      </c>
      <c r="C29" s="56">
        <f t="shared" ca="1" si="4"/>
        <v>1</v>
      </c>
      <c r="D29" s="56">
        <f t="shared" ca="1" si="5"/>
        <v>0.791015625</v>
      </c>
      <c r="E29" s="56">
        <f t="shared" ca="1" si="6"/>
        <v>5</v>
      </c>
      <c r="H29" s="56">
        <f ca="1">10+SUM(E$12:E22)</f>
        <v>20</v>
      </c>
      <c r="I29" s="56">
        <f t="shared" ca="1" si="7"/>
        <v>20</v>
      </c>
      <c r="M29" s="57"/>
    </row>
    <row r="30" spans="1:23">
      <c r="A30" s="56" t="s">
        <v>53</v>
      </c>
      <c r="B30" s="57">
        <f t="shared" ca="1" si="3"/>
        <v>19577</v>
      </c>
      <c r="C30" s="56">
        <f t="shared" ca="1" si="4"/>
        <v>1</v>
      </c>
      <c r="D30" s="56">
        <f t="shared" ca="1" si="5"/>
        <v>0.597442626953125</v>
      </c>
      <c r="E30" s="56">
        <f t="shared" ca="1" si="6"/>
        <v>4</v>
      </c>
      <c r="M30" s="57"/>
    </row>
    <row r="31" spans="1:23">
      <c r="A31" s="56" t="s">
        <v>54</v>
      </c>
      <c r="B31" s="57">
        <f t="shared" ca="1" si="3"/>
        <v>7614</v>
      </c>
      <c r="C31" s="56">
        <f t="shared" ca="1" si="4"/>
        <v>0</v>
      </c>
      <c r="D31" s="56">
        <f t="shared" ca="1" si="5"/>
        <v>0.23236083984375</v>
      </c>
      <c r="E31" s="56">
        <f t="shared" ca="1" si="6"/>
        <v>-1</v>
      </c>
      <c r="M31" s="57"/>
    </row>
    <row r="32" spans="1:23">
      <c r="A32" s="56" t="s">
        <v>55</v>
      </c>
      <c r="B32" s="57">
        <f t="shared" ca="1" si="3"/>
        <v>15903</v>
      </c>
      <c r="C32" s="56">
        <f t="shared" ca="1" si="4"/>
        <v>0</v>
      </c>
      <c r="D32" s="56">
        <f t="shared" ca="1" si="5"/>
        <v>0.485321044921875</v>
      </c>
      <c r="E32" s="56">
        <f t="shared" ca="1" si="6"/>
        <v>-2</v>
      </c>
      <c r="M32" s="57"/>
    </row>
    <row r="33" spans="1:13">
      <c r="A33" s="56" t="s">
        <v>56</v>
      </c>
      <c r="B33" s="57">
        <f t="shared" ca="1" si="3"/>
        <v>5484</v>
      </c>
      <c r="C33" s="56">
        <f t="shared" ca="1" si="4"/>
        <v>0</v>
      </c>
      <c r="D33" s="56">
        <f t="shared" ca="1" si="5"/>
        <v>0.1673583984375</v>
      </c>
      <c r="E33" s="56">
        <f t="shared" ca="1" si="6"/>
        <v>-1</v>
      </c>
      <c r="M33" s="57"/>
    </row>
  </sheetData>
  <sheetProtection algorithmName="SHA-512" hashValue="kIqIyQVbcPXGm24+FqtVMwNhQMraXxnC2cf2XxPdnOBUTPuVJbYj1BfMsq4OA0DOzsAdaBkyudqG50U8kadqjQ==" saltValue="UV69Rny4JSR9+pkbwlcXkg==" spinCount="100000" sheet="1" objects="1" scenarios="1"/>
  <customSheetViews>
    <customSheetView guid="{1E6EB3EC-58F4-42D5-9462-6EAD6EC3491E}" state="hidden" topLeftCell="A10">
      <selection activeCell="B6" sqref="B6:B10"/>
      <pageMargins left="0" right="0" top="0" bottom="0" header="0" footer="0"/>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6A5B-4015-4513-BD86-66A981B08642}">
  <dimension ref="C5:H10"/>
  <sheetViews>
    <sheetView workbookViewId="0">
      <selection activeCell="C5" sqref="C5:H10"/>
    </sheetView>
  </sheetViews>
  <sheetFormatPr defaultRowHeight="15"/>
  <sheetData>
    <row r="5" spans="3:8">
      <c r="C5" s="162" t="s">
        <v>57</v>
      </c>
      <c r="D5" s="162"/>
      <c r="E5" s="162"/>
      <c r="F5" s="162"/>
      <c r="G5" s="162"/>
      <c r="H5" s="162"/>
    </row>
    <row r="6" spans="3:8">
      <c r="C6" s="162"/>
      <c r="D6" s="162"/>
      <c r="E6" s="162"/>
      <c r="F6" s="162"/>
      <c r="G6" s="162"/>
      <c r="H6" s="162"/>
    </row>
    <row r="7" spans="3:8">
      <c r="C7" s="162"/>
      <c r="D7" s="162"/>
      <c r="E7" s="162"/>
      <c r="F7" s="162"/>
      <c r="G7" s="162"/>
      <c r="H7" s="162"/>
    </row>
    <row r="8" spans="3:8">
      <c r="C8" s="162"/>
      <c r="D8" s="162"/>
      <c r="E8" s="162"/>
      <c r="F8" s="162"/>
      <c r="G8" s="162"/>
      <c r="H8" s="162"/>
    </row>
    <row r="9" spans="3:8">
      <c r="C9" s="162"/>
      <c r="D9" s="162"/>
      <c r="E9" s="162"/>
      <c r="F9" s="162"/>
      <c r="G9" s="162"/>
      <c r="H9" s="162"/>
    </row>
    <row r="10" spans="3:8">
      <c r="C10" s="162"/>
      <c r="D10" s="162"/>
      <c r="E10" s="162"/>
      <c r="F10" s="162"/>
      <c r="G10" s="162"/>
      <c r="H10" s="162"/>
    </row>
  </sheetData>
  <mergeCells count="1">
    <mergeCell ref="C5:H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13C9D7-E17F-4BAF-838C-91D0DFFDABBA}">
  <ds:schemaRefs>
    <ds:schemaRef ds:uri="http://schemas.microsoft.com/sharepoint/v3/contenttype/forms"/>
  </ds:schemaRefs>
</ds:datastoreItem>
</file>

<file path=customXml/itemProps2.xml><?xml version="1.0" encoding="utf-8"?>
<ds:datastoreItem xmlns:ds="http://schemas.openxmlformats.org/officeDocument/2006/customXml" ds:itemID="{AA4AD473-4FA9-46C1-A1D3-2EA805B81A69}">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8523C5DA-AB7D-4731-9E8F-F5765EA06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Goals and Instructions</vt:lpstr>
      <vt:lpstr>Linear Fit</vt:lpstr>
      <vt:lpstr>Users</vt:lpstr>
      <vt:lpstr>GradeSheet</vt:lpstr>
      <vt:lpstr>Random</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2020-09-27T23:08:00Z</dcterms:created>
  <dcterms:modified xsi:type="dcterms:W3CDTF">2026-08-25T20:33:04Z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MediaServiceImageTags">
    <vt:lpwstr/>
  </property>
</Properties>
</file>