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2 DQ 2/"/>
    </mc:Choice>
  </mc:AlternateContent>
  <xr:revisionPtr revIDLastSave="32" documentId="8_{5729DF8E-4F27-44B9-A416-4E58C2ECD185}" xr6:coauthVersionLast="47" xr6:coauthVersionMax="47" xr10:uidLastSave="{D8000706-8443-4B65-AB1A-B36ABD2EFDFC}"/>
  <bookViews>
    <workbookView xWindow="-108" yWindow="-108" windowWidth="23256" windowHeight="12720" activeTab="1" xr2:uid="{DA857894-CCDD-4590-8F7E-A65A6A8D0808}"/>
  </bookViews>
  <sheets>
    <sheet name="Goals and Instructions" sheetId="4" r:id="rId1"/>
    <sheet name="Linear Fit" sheetId="1" r:id="rId2"/>
    <sheet name="GradeShhet" sheetId="5" state="hidden" r:id="rId3"/>
    <sheet name="Random" sheetId="2" state="hidden" r:id="rId4"/>
    <sheet name="Sheet1" sheetId="3" state="hidden" r:id="rId5"/>
  </sheets>
  <calcPr calcId="191028"/>
  <customWorkbookViews>
    <customWorkbookView name="Richard Ketchersid - Personal View" guid="{1E6EB3EC-58F4-42D5-9462-6EAD6EC3491E}" mergeInterval="0" personalView="1" xWindow="61" yWindow="61" windowWidth="1733" windowHeight="952" activeSheetId="1"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8" i="2"/>
  <c r="B9" i="2"/>
  <c r="B10" i="2"/>
  <c r="B6" i="2"/>
  <c r="C7" i="2" l="1"/>
  <c r="C9" i="2"/>
  <c r="D9" i="2" s="1"/>
  <c r="C6" i="2"/>
  <c r="C8" i="2"/>
  <c r="D8" i="2" s="1"/>
  <c r="C10" i="2"/>
  <c r="D10" i="2" s="1"/>
  <c r="D7" i="2" l="1"/>
  <c r="D6" i="2"/>
  <c r="E10" i="2"/>
  <c r="E8" i="2"/>
  <c r="E7" i="2"/>
  <c r="E9" i="2"/>
  <c r="E6" i="2"/>
  <c r="B11" i="2" l="1"/>
  <c r="B12" i="2" s="1"/>
  <c r="B13" i="2" l="1"/>
  <c r="D12" i="2"/>
  <c r="E12" i="2" s="1"/>
  <c r="C12" i="2"/>
  <c r="B14" i="2" l="1"/>
  <c r="D13" i="2"/>
  <c r="E13" i="2" l="1"/>
  <c r="C13" i="2"/>
  <c r="B15" i="2"/>
  <c r="D14" i="2"/>
  <c r="B12" i="1" l="1"/>
  <c r="B12" i="5"/>
  <c r="B16" i="2"/>
  <c r="D15" i="2"/>
  <c r="E14" i="2"/>
  <c r="C14" i="2"/>
  <c r="C12" i="1" l="1"/>
  <c r="B13" i="1"/>
  <c r="C13" i="1" s="1"/>
  <c r="C13" i="5" s="1"/>
  <c r="E12" i="1"/>
  <c r="E12" i="5"/>
  <c r="B13" i="5"/>
  <c r="E15" i="2"/>
  <c r="C15" i="2"/>
  <c r="B17" i="2"/>
  <c r="D16" i="2"/>
  <c r="C12" i="5" l="1"/>
  <c r="B14" i="1"/>
  <c r="B14" i="5"/>
  <c r="E16" i="2"/>
  <c r="C16" i="2"/>
  <c r="B18" i="2"/>
  <c r="D17" i="2"/>
  <c r="C14" i="1" l="1"/>
  <c r="B15" i="5"/>
  <c r="B15" i="1"/>
  <c r="E17" i="2"/>
  <c r="C17" i="2"/>
  <c r="B19" i="2"/>
  <c r="D18" i="2"/>
  <c r="C14" i="5" l="1"/>
  <c r="C15" i="1"/>
  <c r="C15" i="5" s="1"/>
  <c r="B16" i="5"/>
  <c r="B16" i="1"/>
  <c r="C16" i="1" s="1"/>
  <c r="C16" i="5" s="1"/>
  <c r="E18" i="2"/>
  <c r="C18" i="2"/>
  <c r="B20" i="2"/>
  <c r="D19" i="2"/>
  <c r="B17" i="5" l="1"/>
  <c r="E13" i="5" s="1"/>
  <c r="B17" i="1"/>
  <c r="E19" i="2"/>
  <c r="C19" i="2"/>
  <c r="B21" i="2"/>
  <c r="D20" i="2"/>
  <c r="E14" i="5" l="1"/>
  <c r="E15" i="5" s="1"/>
  <c r="E16" i="5" s="1"/>
  <c r="E17" i="5" s="1"/>
  <c r="E18" i="5" s="1"/>
  <c r="E19" i="5" s="1"/>
  <c r="E20" i="5" s="1"/>
  <c r="E21" i="5" s="1"/>
  <c r="E22" i="5" s="1"/>
  <c r="C17" i="1"/>
  <c r="E13" i="1"/>
  <c r="E14" i="1" s="1"/>
  <c r="E15" i="1" s="1"/>
  <c r="E16" i="1" s="1"/>
  <c r="E17" i="1" s="1"/>
  <c r="E18" i="1" s="1"/>
  <c r="E19" i="1" s="1"/>
  <c r="E20" i="1" s="1"/>
  <c r="E20" i="2"/>
  <c r="C20" i="2"/>
  <c r="B22" i="2"/>
  <c r="D21" i="2"/>
  <c r="C17" i="5" l="1"/>
  <c r="B20" i="5" s="1"/>
  <c r="H26" i="5"/>
  <c r="E21" i="1"/>
  <c r="E22" i="1" s="1"/>
  <c r="E21" i="2"/>
  <c r="C21" i="2"/>
  <c r="B23" i="2"/>
  <c r="D22" i="2"/>
  <c r="B21" i="5" l="1"/>
  <c r="F12" i="5" s="1" a="1"/>
  <c r="F12" i="5" s="1"/>
  <c r="H26" i="1"/>
  <c r="E22" i="2"/>
  <c r="C22" i="2"/>
  <c r="B24" i="2"/>
  <c r="D23" i="2"/>
  <c r="E23" i="2" l="1"/>
  <c r="C23" i="2"/>
  <c r="B25" i="2"/>
  <c r="D24" i="2"/>
  <c r="B26" i="2" l="1"/>
  <c r="D25" i="2"/>
  <c r="E24" i="2"/>
  <c r="C24" i="2"/>
  <c r="E25" i="2" l="1"/>
  <c r="C25" i="2"/>
  <c r="B27" i="2"/>
  <c r="D26" i="2"/>
  <c r="E26" i="2" l="1"/>
  <c r="C26" i="2"/>
  <c r="B28" i="2"/>
  <c r="D27" i="2"/>
  <c r="E27" i="2" l="1"/>
  <c r="C27" i="2"/>
  <c r="B29" i="2"/>
  <c r="D28" i="2"/>
  <c r="E28" i="2" l="1"/>
  <c r="C28" i="2"/>
  <c r="B30" i="2"/>
  <c r="D29" i="2"/>
  <c r="E29" i="2" l="1"/>
  <c r="C29" i="2"/>
  <c r="B31" i="2"/>
  <c r="D30" i="2"/>
  <c r="E30" i="2" l="1"/>
  <c r="C30" i="2"/>
  <c r="B32" i="2"/>
  <c r="D31" i="2"/>
  <c r="B33" i="2" l="1"/>
  <c r="D33" i="2" s="1"/>
  <c r="D32" i="2"/>
  <c r="E31" i="2"/>
  <c r="C31" i="2"/>
  <c r="E33" i="2" l="1"/>
  <c r="C33" i="2"/>
  <c r="E32" i="2"/>
  <c r="C3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<sst xmlns="http://schemas.openxmlformats.org/spreadsheetml/2006/main" count="101" uniqueCount="73">
  <si>
    <t>Excel Skills Learned</t>
  </si>
  <si>
    <r>
      <rPr>
        <b/>
        <sz val="11"/>
        <color theme="1"/>
        <rFont val="Calibri"/>
        <family val="2"/>
        <scheme val="minor"/>
      </rPr>
      <t>Instructions</t>
    </r>
    <r>
      <rPr>
        <sz val="11"/>
        <color theme="1"/>
        <rFont val="Calibri"/>
        <family val="2"/>
        <scheme val="minor"/>
      </rPr>
      <t>: Open the tab labeled "Linear Fit" and complete the tasks indicated there. Start by entering your name where indicated. Pay attention to the legend and note that the sheet is self-checking.</t>
    </r>
  </si>
  <si>
    <t>Upon completing the sheet, you should have an understanding of:</t>
  </si>
  <si>
    <t>1. How to add a scatter plot of data.</t>
  </si>
  <si>
    <t>2. How to add a trendline to the scatter plot, extend the trendline as needed, and add the equation of the trendline.</t>
  </si>
  <si>
    <t>3. How to add new data to a chart that is already on the sheet.</t>
  </si>
  <si>
    <t>4. How to use =SLOPE() and =INTERCEPT() to find the equation for a linear trendline.</t>
  </si>
  <si>
    <t>Math Skills Learned</t>
  </si>
  <si>
    <t>1. How to use a tend line to predict values not provided in the data.</t>
  </si>
  <si>
    <t>2. How to read values off of a graph.</t>
  </si>
  <si>
    <t>Video for this.</t>
  </si>
  <si>
    <t>Legend</t>
  </si>
  <si>
    <t>Enter your name with at lease 5 letters ⇒</t>
  </si>
  <si>
    <t>Your Name</t>
  </si>
  <si>
    <t>If a cell is shaded</t>
  </si>
  <si>
    <t>Cell Should Contain</t>
  </si>
  <si>
    <t>Blue</t>
  </si>
  <si>
    <t>Text</t>
  </si>
  <si>
    <t>- Find the slope and intercept of the best fit line, using =slope(distance, speed) and =intercept(distance, speed)
- Write the equation of the line.
- Fill in the predicted values.</t>
  </si>
  <si>
    <t>Green</t>
  </si>
  <si>
    <t>Number</t>
  </si>
  <si>
    <t>Gold</t>
  </si>
  <si>
    <t>Excel Formula</t>
  </si>
  <si>
    <t>Any other color</t>
  </si>
  <si>
    <t>Make no changes</t>
  </si>
  <si>
    <t>- Insert a scatter plot for the data B12:C17
- Add a linear trendline and extended to include all od the predicted values.
- Add the scatter plot of your predictions (see the video)</t>
  </si>
  <si>
    <t>Stopping distance</t>
  </si>
  <si>
    <t>Predicted Values</t>
  </si>
  <si>
    <t>speed (m/s)</t>
  </si>
  <si>
    <t>distance (m)</t>
  </si>
  <si>
    <r>
      <t xml:space="preserve">Put your scatter plot here. Make sure to </t>
    </r>
    <r>
      <rPr>
        <b/>
        <sz val="11"/>
        <color theme="1"/>
        <rFont val="Calibri"/>
        <family val="2"/>
        <scheme val="minor"/>
      </rPr>
      <t>add and set the axis titles</t>
    </r>
    <r>
      <rPr>
        <sz val="11"/>
        <color theme="1"/>
        <rFont val="Calibri"/>
        <family val="2"/>
        <scheme val="minor"/>
      </rPr>
      <t xml:space="preserve"> and </t>
    </r>
    <r>
      <rPr>
        <b/>
        <sz val="11"/>
        <color theme="1"/>
        <rFont val="Calibri"/>
        <family val="2"/>
        <scheme val="minor"/>
      </rPr>
      <t>set the chart title</t>
    </r>
    <r>
      <rPr>
        <sz val="11"/>
        <color theme="1"/>
        <rFont val="Calibri"/>
        <family val="2"/>
        <scheme val="minor"/>
      </rPr>
      <t>. Also, make sure to restrict the domain and range so that the graph fills the space and is easy to read.</t>
    </r>
  </si>
  <si>
    <t>Fit Parameters</t>
  </si>
  <si>
    <t>Intercept (b)</t>
  </si>
  <si>
    <t>Slope (m)</t>
  </si>
  <si>
    <t>Equation</t>
  </si>
  <si>
    <t>Format to two decimal places.</t>
  </si>
  <si>
    <t>Give an interpretation of the slope and intercept. Do both make sense?</t>
  </si>
  <si>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</si>
  <si>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</si>
  <si>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</si>
  <si>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</si>
  <si>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</si>
  <si>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</si>
  <si>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</si>
  <si>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</si>
  <si>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</si>
  <si>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</si>
  <si>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</si>
  <si>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</si>
  <si>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</si>
  <si>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</si>
  <si>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</si>
  <si>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</si>
  <si>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</si>
  <si>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</si>
  <si>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</si>
  <si>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</si>
  <si>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</si>
  <si>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</si>
  <si>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</si>
  <si>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t>Ignore the Halo preview you must download and open the file in Excel to correctly see the contents.</t>
  </si>
  <si>
    <t>- Insert a scatter plot for the data B12:C17
- Add a linear trendline and extend to include all of the predicted values.
- Add the scatter plot of your predictions (see the video)</t>
  </si>
  <si>
    <t>m.</t>
  </si>
  <si>
    <t>For each additional 1 m/s increase in spead, there is an</t>
  </si>
  <si>
    <t>m for the stopping distance.</t>
  </si>
  <si>
    <t>When the velocity is 0 m/s the predicted value of the stopping distance is</t>
  </si>
  <si>
    <t>Other Color</t>
  </si>
  <si>
    <t>Don't make Change</t>
  </si>
  <si>
    <t>Dropdown Menu</t>
  </si>
  <si>
    <t>Purple</t>
  </si>
  <si>
    <t>Slope:</t>
  </si>
  <si>
    <t>Intercept:</t>
  </si>
  <si>
    <t>Do these make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</si>
</sst>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0"/>
      <color rgb="FF000000"/>
      <name val="Arial Unicode MS"/>
    </font>
    <font>
      <b/>
      <sz val="11"/>
      <color rgb="FFFF0000"/>
      <name val="Calibri"/>
      <family val="2"/>
      <scheme val="minor"/>
    </font>
    <font>
      <u/>
      <sz val="11"/>
      <color theme="10"/>
      <name val="Calibri"/>
      <family val="2"/>
      <scheme val="minor"/>
    </font>
    <font>
      <sz val="11"/>
      <color theme="1"/>
      <name val="Comic Sans MS"/>
      <family val="4"/>
    </font>
    <font>
      <b/>
      <sz val="14"/>
      <color theme="1"/>
      <name val="Calibri"/>
      <family val="2"/>
      <scheme val="minor"/>
    </font>
    <font>
      <b/>
      <sz val="11"/>
      <color theme="1"/>
      <name val="Calibri"/>
      <family val="2"/>
      <scheme val="minor"/>
    </font>
    <font>
      <b/>
      <sz val="11"/>
      <color theme="0" tint="-4.9989318521683403E-2"/>
      <name val="Bradley Hand ITC"/>
      <family val="4"/>
    </font>
    <font>
      <b/>
      <u/>
      <sz val="14"/>
      <color theme="10"/>
      <name val="Calibri"/>
      <family val="2"/>
      <scheme val="minor"/>
    </font>
  </fonts>
  <fills count="9">
    <fill>
      <patternFill patternType="none"/>
    </fill>
    <fill>
      <patternFill patternType="gray125"/>
    </fill>
    <fill>
      <patternFill patternType="solid">
        <fgColor theme="7"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E0C6EC"/>
        <bgColor indexed="64"/>
      </patternFill>
    </fill>
  </fills>
  <borders count="31">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140">
    <xf numFmtId="0" fontId="0" fillId="0" borderId="0" xfId="0"/>
    <xf numFmtId="0" fontId="0" fillId="0" borderId="0" xfId="0" applyAlignment="1">
      <alignment horizontal="center" vertical="center"/>
    </xf>
    <xf numFmtId="0" fontId="0" fillId="3" borderId="7" xfId="0" applyFill="1" applyBorder="1"/>
    <xf numFmtId="0" fontId="0" fillId="3" borderId="8" xfId="0" applyFill="1" applyBorder="1"/>
    <xf numFmtId="0" fontId="0" fillId="4" borderId="5" xfId="0" applyFill="1" applyBorder="1" applyAlignment="1" applyProtection="1">
      <alignment horizontal="center" vertical="center"/>
      <protection locked="0"/>
    </xf>
    <xf numFmtId="0" fontId="0" fillId="4" borderId="6" xfId="0" applyFill="1" applyBorder="1" applyAlignment="1" applyProtection="1">
      <alignment horizontal="center" vertical="center"/>
      <protection locked="0"/>
    </xf>
    <xf numFmtId="0" fontId="0" fillId="5" borderId="5" xfId="0" applyFill="1"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6" borderId="5" xfId="0"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0" xfId="0" applyAlignment="1">
      <alignment vertical="center"/>
    </xf>
    <xf numFmtId="0" fontId="1" fillId="0" borderId="0" xfId="0" applyFont="1" applyAlignment="1">
      <alignment vertical="center"/>
    </xf>
    <xf numFmtId="0" fontId="0" fillId="3" borderId="5" xfId="0" applyFill="1" applyBorder="1"/>
    <xf numFmtId="0" fontId="0" fillId="3" borderId="3" xfId="0" applyFill="1" applyBorder="1"/>
    <xf numFmtId="0" fontId="0" fillId="2" borderId="11" xfId="0" applyFill="1" applyBorder="1" applyProtection="1">
      <protection locked="0"/>
    </xf>
    <xf numFmtId="0" fontId="0" fillId="2" borderId="12" xfId="0" applyFill="1" applyBorder="1" applyProtection="1">
      <protection locked="0"/>
    </xf>
    <xf numFmtId="0" fontId="0" fillId="3" borderId="5" xfId="0" applyFill="1" applyBorder="1" applyProtection="1">
      <protection hidden="1"/>
    </xf>
    <xf numFmtId="0" fontId="0" fillId="3" borderId="3" xfId="0" applyFill="1" applyBorder="1" applyProtection="1">
      <protection hidden="1"/>
    </xf>
    <xf numFmtId="2" fontId="0" fillId="3" borderId="6" xfId="0" applyNumberFormat="1" applyFill="1" applyBorder="1" applyProtection="1">
      <protection hidden="1"/>
    </xf>
    <xf numFmtId="2" fontId="0" fillId="3" borderId="4" xfId="0" applyNumberFormat="1" applyFill="1" applyBorder="1" applyProtection="1">
      <protection hidden="1"/>
    </xf>
    <xf numFmtId="0" fontId="0" fillId="3" borderId="24" xfId="0" applyFill="1" applyBorder="1" applyProtection="1">
      <protection hidden="1"/>
    </xf>
    <xf numFmtId="2" fontId="0" fillId="3" borderId="25" xfId="0" applyNumberFormat="1" applyFill="1" applyBorder="1" applyProtection="1">
      <protection hidden="1"/>
    </xf>
    <xf numFmtId="0" fontId="0" fillId="3" borderId="5" xfId="0" applyFill="1" applyBorder="1" applyAlignment="1">
      <alignment horizontal="center"/>
    </xf>
    <xf numFmtId="0" fontId="0" fillId="3" borderId="6" xfId="0" applyFill="1" applyBorder="1" applyAlignment="1">
      <alignment horizontal="center"/>
    </xf>
    <xf numFmtId="0" fontId="6" fillId="0" borderId="0" xfId="0" applyFont="1"/>
    <xf numFmtId="0" fontId="4" fillId="0" borderId="0" xfId="0" applyFont="1"/>
    <xf numFmtId="0" fontId="0" fillId="7" borderId="26" xfId="0" applyFill="1" applyBorder="1"/>
    <xf numFmtId="0" fontId="7" fillId="5" borderId="21" xfId="0" applyFont="1" applyFill="1" applyBorder="1" applyAlignment="1" applyProtection="1">
      <alignment horizontal="center"/>
      <protection locked="0"/>
    </xf>
    <xf numFmtId="2" fontId="0" fillId="2" borderId="6" xfId="0" applyNumberFormat="1" applyFill="1" applyBorder="1" applyAlignment="1">
      <alignment horizontal="center"/>
    </xf>
    <xf numFmtId="0" fontId="6" fillId="3" borderId="21" xfId="0" applyFont="1" applyFill="1" applyBorder="1" applyAlignment="1">
      <alignment horizontal="center"/>
    </xf>
    <xf numFmtId="0" fontId="0" fillId="0" borderId="0" xfId="0" applyAlignment="1">
      <alignment horizontal="left" indent="1"/>
    </xf>
    <xf numFmtId="0" fontId="0" fillId="0" borderId="0" xfId="0" applyAlignment="1">
      <alignment horizontal="left" wrapText="1" indent="1"/>
    </xf>
    <xf numFmtId="0" fontId="0" fillId="0" borderId="0" xfId="0" applyAlignment="1">
      <alignment wrapText="1"/>
    </xf>
    <xf numFmtId="0" fontId="0" fillId="3" borderId="13" xfId="0" applyFill="1" applyBorder="1" applyAlignment="1">
      <alignment horizontal="left" vertical="center" wrapText="1" indent="1"/>
    </xf>
    <xf numFmtId="0" fontId="0" fillId="3" borderId="15" xfId="0" applyFill="1" applyBorder="1" applyAlignment="1">
      <alignment horizontal="left" vertical="center" wrapText="1" indent="1"/>
    </xf>
    <xf numFmtId="0" fontId="0" fillId="3" borderId="14" xfId="0" applyFill="1" applyBorder="1" applyAlignment="1">
      <alignment horizontal="left" vertical="center" wrapText="1" indent="1"/>
    </xf>
    <xf numFmtId="0" fontId="0" fillId="3" borderId="16" xfId="0" applyFill="1" applyBorder="1" applyAlignment="1">
      <alignment horizontal="left" vertical="center" wrapText="1" indent="1"/>
    </xf>
    <xf numFmtId="0" fontId="0" fillId="3" borderId="0" xfId="0" applyFill="1" applyAlignment="1">
      <alignment horizontal="left" vertical="center" wrapText="1" indent="1"/>
    </xf>
    <xf numFmtId="0" fontId="0" fillId="3" borderId="17" xfId="0" applyFill="1" applyBorder="1" applyAlignment="1">
      <alignment horizontal="left" vertical="center" wrapText="1" indent="1"/>
    </xf>
    <xf numFmtId="0" fontId="0" fillId="3" borderId="18" xfId="0" applyFill="1" applyBorder="1" applyAlignment="1">
      <alignment horizontal="left" vertical="center" wrapText="1" indent="1"/>
    </xf>
    <xf numFmtId="0" fontId="0" fillId="3" borderId="19" xfId="0" applyFill="1" applyBorder="1" applyAlignment="1">
      <alignment horizontal="left" vertical="center" wrapText="1" indent="1"/>
    </xf>
    <xf numFmtId="0" fontId="0" fillId="3" borderId="20" xfId="0" applyFill="1" applyBorder="1" applyAlignment="1">
      <alignment horizontal="left" vertical="center" wrapText="1" indent="1"/>
    </xf>
    <xf numFmtId="0" fontId="8" fillId="0" borderId="0" xfId="1" applyFont="1" applyFill="1" applyAlignment="1">
      <alignment horizontal="center" vertical="center"/>
    </xf>
    <xf numFmtId="0" fontId="2" fillId="3" borderId="9" xfId="0" applyFont="1" applyFill="1" applyBorder="1" applyAlignment="1">
      <alignment horizontal="center"/>
    </xf>
    <xf numFmtId="0" fontId="2" fillId="3" borderId="22" xfId="0" applyFont="1" applyFill="1" applyBorder="1" applyAlignment="1">
      <alignment horizontal="center"/>
    </xf>
    <xf numFmtId="0" fontId="2" fillId="3" borderId="10" xfId="0" applyFont="1"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5" borderId="9" xfId="0" applyFill="1" applyBorder="1" applyAlignment="1" applyProtection="1">
      <alignment horizontal="center"/>
      <protection locked="0"/>
    </xf>
    <xf numFmtId="0" fontId="0" fillId="5" borderId="10" xfId="0" applyFill="1" applyBorder="1" applyAlignment="1" applyProtection="1">
      <alignment horizontal="center"/>
      <protection locked="0"/>
    </xf>
    <xf numFmtId="0" fontId="0" fillId="3" borderId="13" xfId="0" applyFill="1" applyBorder="1" applyAlignment="1">
      <alignment horizontal="center" wrapText="1"/>
    </xf>
    <xf numFmtId="0" fontId="0" fillId="3" borderId="14" xfId="0" applyFill="1" applyBorder="1" applyAlignment="1">
      <alignment horizontal="center" wrapText="1"/>
    </xf>
    <xf numFmtId="0" fontId="0" fillId="3" borderId="18" xfId="0" applyFill="1" applyBorder="1" applyAlignment="1">
      <alignment horizontal="center" wrapText="1"/>
    </xf>
    <xf numFmtId="0" fontId="0" fillId="3" borderId="20" xfId="0" applyFill="1" applyBorder="1" applyAlignment="1">
      <alignment horizontal="center" wrapText="1"/>
    </xf>
    <xf numFmtId="0" fontId="6" fillId="3" borderId="13" xfId="0" applyFont="1" applyFill="1" applyBorder="1" applyAlignment="1">
      <alignment horizontal="center"/>
    </xf>
    <xf numFmtId="0" fontId="6" fillId="3" borderId="14" xfId="0" applyFont="1" applyFill="1" applyBorder="1" applyAlignment="1">
      <alignment horizontal="center"/>
    </xf>
    <xf numFmtId="0" fontId="0" fillId="3" borderId="13" xfId="0" quotePrefix="1" applyFill="1" applyBorder="1" applyAlignment="1">
      <alignment horizontal="left" wrapText="1" indent="1"/>
    </xf>
    <xf numFmtId="0" fontId="0" fillId="3" borderId="15" xfId="0" quotePrefix="1" applyFill="1" applyBorder="1" applyAlignment="1">
      <alignment horizontal="left" wrapText="1" indent="1"/>
    </xf>
    <xf numFmtId="0" fontId="0" fillId="3" borderId="14" xfId="0" quotePrefix="1" applyFill="1" applyBorder="1" applyAlignment="1">
      <alignment horizontal="left" wrapText="1" indent="1"/>
    </xf>
    <xf numFmtId="0" fontId="0" fillId="3" borderId="16" xfId="0" quotePrefix="1" applyFill="1" applyBorder="1" applyAlignment="1">
      <alignment horizontal="left" wrapText="1" indent="1"/>
    </xf>
    <xf numFmtId="0" fontId="0" fillId="3" borderId="0" xfId="0" quotePrefix="1" applyFill="1" applyAlignment="1">
      <alignment horizontal="left" wrapText="1" indent="1"/>
    </xf>
    <xf numFmtId="0" fontId="0" fillId="3" borderId="17" xfId="0" quotePrefix="1" applyFill="1" applyBorder="1" applyAlignment="1">
      <alignment horizontal="left" wrapText="1" indent="1"/>
    </xf>
    <xf numFmtId="0" fontId="0" fillId="3" borderId="18" xfId="0" quotePrefix="1" applyFill="1" applyBorder="1" applyAlignment="1">
      <alignment horizontal="left" wrapText="1" indent="1"/>
    </xf>
    <xf numFmtId="0" fontId="0" fillId="3" borderId="19" xfId="0" quotePrefix="1" applyFill="1" applyBorder="1" applyAlignment="1">
      <alignment horizontal="left" wrapText="1" indent="1"/>
    </xf>
    <xf numFmtId="0" fontId="0" fillId="3" borderId="20" xfId="0" quotePrefix="1" applyFill="1" applyBorder="1" applyAlignment="1">
      <alignment horizontal="left" wrapText="1" indent="1"/>
    </xf>
    <xf numFmtId="0" fontId="0" fillId="3" borderId="13" xfId="0" applyFill="1" applyBorder="1" applyAlignment="1" applyProtection="1">
      <alignment horizontal="center" vertical="center"/>
      <protection locked="0"/>
    </xf>
    <xf numFmtId="0" fontId="0" fillId="3" borderId="14" xfId="0" applyFill="1" applyBorder="1" applyAlignment="1" applyProtection="1">
      <alignment horizontal="center" vertical="center"/>
      <protection locked="0"/>
    </xf>
    <xf numFmtId="0" fontId="0" fillId="0" borderId="13" xfId="0" applyBorder="1" applyAlignment="1">
      <alignment horizontal="left" vertical="center" wrapText="1" indent="1"/>
    </xf>
    <xf numFmtId="0" fontId="0" fillId="0" borderId="15" xfId="0" applyBorder="1" applyAlignment="1">
      <alignment horizontal="left" vertical="center" wrapText="1" indent="1"/>
    </xf>
    <xf numFmtId="0" fontId="0" fillId="0" borderId="14" xfId="0" applyBorder="1" applyAlignment="1">
      <alignment horizontal="left" vertical="center" wrapText="1" indent="1"/>
    </xf>
    <xf numFmtId="0" fontId="0" fillId="0" borderId="16" xfId="0" applyBorder="1" applyAlignment="1">
      <alignment horizontal="left" vertical="center" wrapText="1" indent="1"/>
    </xf>
    <xf numFmtId="0" fontId="0" fillId="0" borderId="0" xfId="0" applyAlignment="1">
      <alignment horizontal="left" vertical="center" wrapText="1" indent="1"/>
    </xf>
    <xf numFmtId="0" fontId="0" fillId="0" borderId="17" xfId="0" applyBorder="1" applyAlignment="1">
      <alignment horizontal="left" vertical="center" wrapText="1" indent="1"/>
    </xf>
    <xf numFmtId="0" fontId="0" fillId="0" borderId="18" xfId="0" applyBorder="1" applyAlignment="1">
      <alignment horizontal="left" vertical="center" wrapText="1" indent="1"/>
    </xf>
    <xf numFmtId="0" fontId="0" fillId="0" borderId="19" xfId="0" applyBorder="1" applyAlignment="1">
      <alignment horizontal="left" vertical="center" wrapText="1" indent="1"/>
    </xf>
    <xf numFmtId="0" fontId="0" fillId="0" borderId="20" xfId="0" applyBorder="1" applyAlignment="1">
      <alignment horizontal="left" vertical="center" wrapText="1" indent="1"/>
    </xf>
    <xf numFmtId="0" fontId="0" fillId="3" borderId="13" xfId="0" quotePrefix="1" applyFill="1" applyBorder="1" applyAlignment="1">
      <alignment horizontal="left" indent="1"/>
    </xf>
    <xf numFmtId="0" fontId="0" fillId="3" borderId="15" xfId="0" quotePrefix="1" applyFill="1" applyBorder="1" applyAlignment="1">
      <alignment horizontal="left" indent="1"/>
    </xf>
    <xf numFmtId="0" fontId="0" fillId="3" borderId="14" xfId="0" quotePrefix="1" applyFill="1" applyBorder="1" applyAlignment="1">
      <alignment horizontal="left" indent="1"/>
    </xf>
    <xf numFmtId="0" fontId="0" fillId="3" borderId="1" xfId="0" applyFill="1" applyBorder="1" applyAlignment="1">
      <alignment horizontal="left" wrapText="1" indent="1"/>
    </xf>
    <xf numFmtId="0" fontId="0" fillId="3" borderId="28" xfId="0" applyFill="1" applyBorder="1" applyAlignment="1">
      <alignment horizontal="left" wrapText="1" indent="1"/>
    </xf>
    <xf numFmtId="0" fontId="0" fillId="3" borderId="5" xfId="0" applyFill="1" applyBorder="1" applyAlignment="1">
      <alignment horizontal="left" wrapText="1" indent="1"/>
    </xf>
    <xf numFmtId="0" fontId="0" fillId="3" borderId="23" xfId="0" applyFill="1" applyBorder="1" applyAlignment="1">
      <alignment horizontal="left" wrapText="1" indent="1"/>
    </xf>
    <xf numFmtId="0" fontId="0" fillId="3" borderId="3" xfId="0" applyFill="1" applyBorder="1" applyAlignment="1">
      <alignment horizontal="left" wrapText="1" indent="1"/>
    </xf>
    <xf numFmtId="0" fontId="0" fillId="3" borderId="27" xfId="0" applyFill="1" applyBorder="1" applyAlignment="1">
      <alignment horizontal="left" wrapText="1" indent="1"/>
    </xf>
    <xf numFmtId="0" fontId="0" fillId="3" borderId="13" xfId="0" quotePrefix="1" applyFill="1" applyBorder="1" applyAlignment="1">
      <alignment wrapText="1"/>
    </xf>
    <xf numFmtId="0" fontId="0" fillId="3" borderId="15" xfId="0" quotePrefix="1" applyFill="1" applyBorder="1" applyAlignment="1">
      <alignment wrapText="1"/>
    </xf>
    <xf numFmtId="0" fontId="0" fillId="3" borderId="14" xfId="0" quotePrefix="1" applyFill="1" applyBorder="1" applyAlignment="1">
      <alignment wrapText="1"/>
    </xf>
    <xf numFmtId="0" fontId="0" fillId="3" borderId="16" xfId="0" quotePrefix="1" applyFill="1" applyBorder="1" applyAlignment="1">
      <alignment wrapText="1"/>
    </xf>
    <xf numFmtId="0" fontId="0" fillId="3" borderId="0" xfId="0" quotePrefix="1" applyFill="1" applyAlignment="1">
      <alignment wrapText="1"/>
    </xf>
    <xf numFmtId="0" fontId="0" fillId="3" borderId="17" xfId="0" quotePrefix="1" applyFill="1" applyBorder="1" applyAlignment="1">
      <alignment wrapText="1"/>
    </xf>
    <xf numFmtId="0" fontId="0" fillId="3" borderId="18" xfId="0" quotePrefix="1" applyFill="1" applyBorder="1" applyAlignment="1">
      <alignment wrapText="1"/>
    </xf>
    <xf numFmtId="0" fontId="0" fillId="3" borderId="19" xfId="0" quotePrefix="1" applyFill="1" applyBorder="1" applyAlignment="1">
      <alignment wrapText="1"/>
    </xf>
    <xf numFmtId="0" fontId="0" fillId="3" borderId="20" xfId="0" quotePrefix="1" applyFill="1" applyBorder="1" applyAlignment="1">
      <alignment wrapText="1"/>
    </xf>
    <xf numFmtId="0" fontId="0" fillId="7" borderId="28" xfId="0" applyFill="1" applyBorder="1" applyAlignment="1">
      <alignment horizontal="center"/>
    </xf>
    <xf numFmtId="0" fontId="0" fillId="7" borderId="2" xfId="0" applyFill="1" applyBorder="1" applyAlignment="1">
      <alignment horizontal="center"/>
    </xf>
    <xf numFmtId="0" fontId="0" fillId="7" borderId="23" xfId="0" applyFill="1" applyBorder="1" applyAlignment="1">
      <alignment horizontal="center"/>
    </xf>
    <xf numFmtId="0" fontId="0" fillId="7" borderId="6" xfId="0" applyFill="1" applyBorder="1" applyAlignment="1">
      <alignment horizontal="center"/>
    </xf>
    <xf numFmtId="0" fontId="0" fillId="7" borderId="27" xfId="0" applyFill="1" applyBorder="1" applyAlignment="1">
      <alignment horizontal="center"/>
    </xf>
    <xf numFmtId="0" fontId="0" fillId="7" borderId="4" xfId="0" applyFill="1" applyBorder="1" applyAlignment="1">
      <alignment horizontal="center"/>
    </xf>
    <xf numFmtId="0" fontId="5" fillId="0" borderId="0" xfId="0" applyFont="1" applyAlignment="1">
      <alignment horizontal="center" vertical="center" wrapText="1"/>
    </xf>
    <xf numFmtId="0" fontId="0" fillId="4" borderId="9" xfId="0" applyFill="1" applyBorder="1" applyAlignment="1">
      <alignment horizontal="center" vertical="center" wrapText="1"/>
    </xf>
    <xf numFmtId="0" fontId="0" fillId="4" borderId="22" xfId="0" applyFill="1" applyBorder="1" applyAlignment="1">
      <alignment horizontal="center" vertical="center" wrapText="1"/>
    </xf>
    <xf numFmtId="0" fontId="0" fillId="2" borderId="22" xfId="0" applyFill="1" applyBorder="1"/>
    <xf numFmtId="0" fontId="0" fillId="4" borderId="10" xfId="0" applyFill="1" applyBorder="1"/>
    <xf numFmtId="0" fontId="0" fillId="7" borderId="21" xfId="0" applyFill="1" applyBorder="1"/>
    <xf numFmtId="0" fontId="0" fillId="4" borderId="22" xfId="0" applyFill="1" applyBorder="1" applyAlignment="1">
      <alignment horizontal="left"/>
    </xf>
    <xf numFmtId="0" fontId="0" fillId="4" borderId="10" xfId="0" applyFill="1" applyBorder="1" applyAlignment="1">
      <alignment horizontal="left"/>
    </xf>
    <xf numFmtId="0" fontId="0" fillId="0" borderId="0" xfId="0" applyBorder="1"/>
    <xf numFmtId="0" fontId="0" fillId="3" borderId="13" xfId="0" applyFill="1" applyBorder="1" applyAlignment="1">
      <alignment horizontal="left" vertical="center" indent="1"/>
    </xf>
    <xf numFmtId="0" fontId="0" fillId="3" borderId="15" xfId="0" applyFill="1" applyBorder="1" applyAlignment="1">
      <alignment horizontal="left" vertical="center" indent="1"/>
    </xf>
    <xf numFmtId="0" fontId="0" fillId="3" borderId="14" xfId="0" applyFill="1" applyBorder="1" applyAlignment="1">
      <alignment horizontal="left" vertical="center" indent="1"/>
    </xf>
    <xf numFmtId="0" fontId="0" fillId="3" borderId="18" xfId="0" applyFill="1" applyBorder="1" applyAlignment="1">
      <alignment horizontal="left" vertical="center" indent="1"/>
    </xf>
    <xf numFmtId="0" fontId="0" fillId="3" borderId="19" xfId="0" applyFill="1" applyBorder="1" applyAlignment="1">
      <alignment horizontal="left" vertical="center" indent="1"/>
    </xf>
    <xf numFmtId="0" fontId="0" fillId="3" borderId="20" xfId="0" applyFill="1" applyBorder="1" applyAlignment="1">
      <alignment horizontal="left" vertical="center" indent="1"/>
    </xf>
    <xf numFmtId="0" fontId="0" fillId="8" borderId="22" xfId="0" applyFill="1" applyBorder="1"/>
    <xf numFmtId="0" fontId="0" fillId="4" borderId="9" xfId="0" applyFill="1" applyBorder="1" applyAlignment="1">
      <alignment horizontal="left" vertical="center" wrapText="1" indent="1"/>
    </xf>
    <xf numFmtId="0" fontId="0" fillId="4" borderId="22" xfId="0" applyFill="1" applyBorder="1" applyAlignment="1">
      <alignment horizontal="left" vertical="center" wrapText="1" indent="1"/>
    </xf>
    <xf numFmtId="0" fontId="0" fillId="3" borderId="0" xfId="0" quotePrefix="1" applyFill="1" applyBorder="1" applyAlignment="1">
      <alignment wrapText="1"/>
    </xf>
    <xf numFmtId="0" fontId="0" fillId="0" borderId="0" xfId="0" applyFill="1" applyBorder="1" applyAlignment="1"/>
    <xf numFmtId="0" fontId="0" fillId="3" borderId="1" xfId="0" applyFill="1" applyBorder="1" applyAlignment="1" applyProtection="1">
      <alignment horizontal="center" vertical="center"/>
      <protection locked="0"/>
    </xf>
    <xf numFmtId="0" fontId="0" fillId="3" borderId="2" xfId="0" applyFill="1" applyBorder="1" applyAlignment="1" applyProtection="1">
      <alignment horizontal="center" vertical="center"/>
      <protection locked="0"/>
    </xf>
    <xf numFmtId="0" fontId="0" fillId="0" borderId="30" xfId="0" applyFill="1" applyBorder="1" applyAlignment="1">
      <alignment horizontal="center"/>
    </xf>
    <xf numFmtId="0" fontId="0" fillId="8" borderId="29" xfId="0" applyFill="1"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7" borderId="15" xfId="0" applyFill="1" applyBorder="1" applyAlignment="1">
      <alignment horizontal="center"/>
    </xf>
    <xf numFmtId="0" fontId="0" fillId="7" borderId="13" xfId="0" applyFill="1" applyBorder="1" applyAlignment="1">
      <alignment horizontal="center"/>
    </xf>
    <xf numFmtId="0" fontId="0" fillId="7" borderId="14" xfId="0" applyFill="1" applyBorder="1" applyAlignment="1">
      <alignment horizontal="center"/>
    </xf>
    <xf numFmtId="0" fontId="0" fillId="7" borderId="16" xfId="0" applyFill="1" applyBorder="1" applyAlignment="1">
      <alignment horizontal="center"/>
    </xf>
    <xf numFmtId="0" fontId="0" fillId="7" borderId="0" xfId="0" applyFill="1" applyBorder="1" applyAlignment="1">
      <alignment horizontal="center"/>
    </xf>
    <xf numFmtId="0" fontId="0" fillId="7" borderId="17" xfId="0" applyFill="1" applyBorder="1" applyAlignment="1">
      <alignment horizontal="center"/>
    </xf>
    <xf numFmtId="0" fontId="0" fillId="7" borderId="18" xfId="0" applyFill="1" applyBorder="1" applyAlignment="1">
      <alignment horizontal="center"/>
    </xf>
    <xf numFmtId="0" fontId="0" fillId="7" borderId="19" xfId="0" applyFill="1" applyBorder="1" applyAlignment="1">
      <alignment horizontal="center"/>
    </xf>
    <xf numFmtId="0" fontId="0" fillId="7" borderId="20" xfId="0" applyFill="1" applyBorder="1" applyAlignment="1">
      <alignment horizontal="center"/>
    </xf>
    <xf numFmtId="0" fontId="6" fillId="0" borderId="0" xfId="0" applyFont="1" applyAlignment="1">
      <alignment horizontal="right"/>
    </xf>
    <xf numFmtId="0" fontId="6" fillId="0" borderId="0" xfId="0" applyFont="1" applyAlignment="1">
      <alignment horizontal="center"/>
    </xf>
    <xf numFmtId="0" fontId="6" fillId="0" borderId="17" xfId="0" applyFont="1" applyBorder="1" applyAlignment="1">
      <alignment horizontal="center"/>
    </xf>
  </cellXfs>
  <cellStyles count="2">
    <cellStyle name="Hyperlink" xfId="1" builtinId="8"/>
    <cellStyle name="Normal" xfId="0" builtinId="0"/>
  </cellStyles>
  <dxfs count="1">
    <dxf>
      <font>
        <b/>
        <i val="0"/>
        <color rgb="FF00B050"/>
      </font>
      <fill>
        <patternFill>
          <bgColor theme="0" tint="-0.14996795556505021"/>
        </patternFill>
      </fill>
    </dxf>
  </dxfs>
  <tableStyles count="0" defaultTableStyle="TableStyleMedium2" defaultPivotStyle="PivotStyleLight16"/>
  <colors>
    <mruColors>
      <color rgb="FFE0C6EC"/>
      <color rgb="FFCCEC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loom.com/share/07ac602d958c454a84f2b8a16b0c2e2e?sid=6608f053-539b-44f6-aff4-528d383a88c8"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loom.com/share/07ac602d958c454a84f2b8a16b0c2e2e?sid=6608f053-539b-44f6-aff4-528d383a88c8"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714375</xdr:colOff>
      <xdr:row>0</xdr:row>
      <xdr:rowOff>11430</xdr:rowOff>
    </xdr:from>
    <xdr:to>
      <xdr:col>5</xdr:col>
      <xdr:colOff>304800</xdr:colOff>
      <xdr:row>1</xdr:row>
      <xdr:rowOff>154940</xdr:rowOff>
    </xdr:to>
    <xdr:pic>
      <xdr:nvPicPr>
        <xdr:cNvPr id="8" name="Picture 7">
          <a:hlinkClick xmlns:r="http://schemas.openxmlformats.org/officeDocument/2006/relationships" r:id="rId1"/>
          <a:extLst>
            <a:ext uri="{FF2B5EF4-FFF2-40B4-BE49-F238E27FC236}">
              <a16:creationId xmlns:a16="http://schemas.microsoft.com/office/drawing/2014/main" id="{66CC3E08-6DF0-DC3C-B704-A044FC345A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26055" y="11430"/>
          <a:ext cx="352425"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714375</xdr:colOff>
      <xdr:row>0</xdr:row>
      <xdr:rowOff>11430</xdr:rowOff>
    </xdr:from>
    <xdr:to>
      <xdr:col>5</xdr:col>
      <xdr:colOff>304800</xdr:colOff>
      <xdr:row>1</xdr:row>
      <xdr:rowOff>171450</xdr:rowOff>
    </xdr:to>
    <xdr:pic>
      <xdr:nvPicPr>
        <xdr:cNvPr id="2" name="Picture 1">
          <a:hlinkClick xmlns:r="http://schemas.openxmlformats.org/officeDocument/2006/relationships" r:id="rId1"/>
          <a:extLst>
            <a:ext uri="{FF2B5EF4-FFF2-40B4-BE49-F238E27FC236}">
              <a16:creationId xmlns:a16="http://schemas.microsoft.com/office/drawing/2014/main" id="{2F238E6C-A846-495A-8A0C-27C974B67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26055" y="11430"/>
          <a:ext cx="352425"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oom.com/share/07ac602d958c454a84f2b8a16b0c2e2e?sid=6608f053-539b-44f6-aff4-528d383a88c8" TargetMode="External"/><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loom.com/share/07ac602d958c454a84f2b8a16b0c2e2e?sid=6608f053-539b-44f6-aff4-528d383a88c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CC96E-0E65-43D0-8350-DB2754A29A16}">
  <dimension ref="B2:I13"/>
  <sheetViews>
    <sheetView workbookViewId="0">
      <selection activeCell="D3" sqref="D3:I7"/>
    </sheetView>
  </sheetViews>
  <sheetFormatPr defaultRowHeight="14.4"/>
  <cols>
    <col min="2" max="2" width="57.109375" customWidth="1"/>
  </cols>
  <sheetData>
    <row r="2" spans="2:9" ht="15" thickBot="1"/>
    <row r="3" spans="2:9" ht="15" thickBot="1">
      <c r="B3" s="31" t="s">
        <v>0</v>
      </c>
      <c r="D3" s="35" t="s">
        <v>1</v>
      </c>
      <c r="E3" s="36"/>
      <c r="F3" s="36"/>
      <c r="G3" s="36"/>
      <c r="H3" s="36"/>
      <c r="I3" s="37"/>
    </row>
    <row r="4" spans="2:9">
      <c r="B4" s="34" t="s">
        <v>2</v>
      </c>
      <c r="D4" s="38"/>
      <c r="E4" s="39"/>
      <c r="F4" s="39"/>
      <c r="G4" s="39"/>
      <c r="H4" s="39"/>
      <c r="I4" s="40"/>
    </row>
    <row r="5" spans="2:9">
      <c r="B5" s="33" t="s">
        <v>3</v>
      </c>
      <c r="D5" s="38"/>
      <c r="E5" s="39"/>
      <c r="F5" s="39"/>
      <c r="G5" s="39"/>
      <c r="H5" s="39"/>
      <c r="I5" s="40"/>
    </row>
    <row r="6" spans="2:9" ht="28.8">
      <c r="B6" s="33" t="s">
        <v>4</v>
      </c>
      <c r="D6" s="38"/>
      <c r="E6" s="39"/>
      <c r="F6" s="39"/>
      <c r="G6" s="39"/>
      <c r="H6" s="39"/>
      <c r="I6" s="40"/>
    </row>
    <row r="7" spans="2:9" ht="15" thickBot="1">
      <c r="B7" s="33" t="s">
        <v>5</v>
      </c>
      <c r="D7" s="41"/>
      <c r="E7" s="42"/>
      <c r="F7" s="42"/>
      <c r="G7" s="42"/>
      <c r="H7" s="42"/>
      <c r="I7" s="43"/>
    </row>
    <row r="8" spans="2:9" ht="28.8">
      <c r="B8" s="33" t="s">
        <v>6</v>
      </c>
    </row>
    <row r="9" spans="2:9" ht="15" thickBot="1">
      <c r="B9" s="32"/>
    </row>
    <row r="10" spans="2:9" ht="15" thickBot="1">
      <c r="B10" s="31" t="s">
        <v>7</v>
      </c>
    </row>
    <row r="11" spans="2:9">
      <c r="B11" s="32" t="s">
        <v>8</v>
      </c>
    </row>
    <row r="12" spans="2:9">
      <c r="B12" s="33" t="s">
        <v>9</v>
      </c>
    </row>
    <row r="13" spans="2:9">
      <c r="B13" s="32"/>
    </row>
  </sheetData>
  <mergeCells count="1">
    <mergeCell ref="D3: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A598-8F75-47DB-A1EB-542124AF2F6A}">
  <dimension ref="A1:Q33"/>
  <sheetViews>
    <sheetView tabSelected="1" topLeftCell="A10" workbookViewId="0">
      <selection activeCell="Q16" sqref="Q16"/>
    </sheetView>
  </sheetViews>
  <sheetFormatPr defaultRowHeight="14.4"/>
  <cols>
    <col min="1" max="1" width="3.109375" customWidth="1"/>
    <col min="2" max="2" width="11.109375" bestFit="1" customWidth="1"/>
    <col min="3" max="3" width="11.44140625" bestFit="1" customWidth="1"/>
    <col min="4" max="4" width="3.6640625" customWidth="1"/>
    <col min="5" max="5" width="11.109375" bestFit="1" customWidth="1"/>
    <col min="6" max="6" width="11.44140625" bestFit="1" customWidth="1"/>
    <col min="7" max="7" width="8.88671875" customWidth="1"/>
    <col min="8" max="8" width="4" customWidth="1"/>
    <col min="9" max="9" width="16.6640625" bestFit="1" customWidth="1"/>
    <col min="10" max="10" width="18.5546875" bestFit="1" customWidth="1"/>
    <col min="14" max="14" width="10.109375" bestFit="1" customWidth="1"/>
  </cols>
  <sheetData>
    <row r="1" spans="1:17" ht="15" customHeight="1" thickBot="1">
      <c r="B1" s="44" t="s">
        <v>10</v>
      </c>
      <c r="C1" s="44"/>
      <c r="D1" s="44"/>
      <c r="E1" s="44"/>
      <c r="F1" s="44"/>
    </row>
    <row r="2" spans="1:17" ht="15" customHeight="1" thickBot="1">
      <c r="B2" s="44"/>
      <c r="C2" s="44"/>
      <c r="D2" s="44"/>
      <c r="E2" s="44"/>
      <c r="F2" s="44"/>
      <c r="I2" s="122" t="s">
        <v>11</v>
      </c>
      <c r="J2" s="123"/>
    </row>
    <row r="3" spans="1:17" ht="16.2" thickBot="1">
      <c r="B3" s="45" t="s">
        <v>12</v>
      </c>
      <c r="C3" s="46"/>
      <c r="D3" s="46"/>
      <c r="E3" s="47"/>
      <c r="F3" s="29" t="s">
        <v>13</v>
      </c>
      <c r="I3" s="4" t="s">
        <v>14</v>
      </c>
      <c r="J3" s="5" t="s">
        <v>15</v>
      </c>
    </row>
    <row r="4" spans="1:17" ht="15" thickBot="1">
      <c r="I4" s="6" t="s">
        <v>16</v>
      </c>
      <c r="J4" s="7" t="s">
        <v>17</v>
      </c>
    </row>
    <row r="5" spans="1:17" ht="14.4" customHeight="1">
      <c r="B5" s="58" t="s">
        <v>18</v>
      </c>
      <c r="C5" s="59"/>
      <c r="D5" s="59"/>
      <c r="E5" s="59"/>
      <c r="F5" s="60"/>
      <c r="I5" s="8" t="s">
        <v>19</v>
      </c>
      <c r="J5" s="7" t="s">
        <v>20</v>
      </c>
    </row>
    <row r="6" spans="1:17">
      <c r="B6" s="61"/>
      <c r="C6" s="62"/>
      <c r="D6" s="62"/>
      <c r="E6" s="62"/>
      <c r="F6" s="63"/>
      <c r="I6" s="9" t="s">
        <v>21</v>
      </c>
      <c r="J6" s="7" t="s">
        <v>22</v>
      </c>
    </row>
    <row r="7" spans="1:17">
      <c r="B7" s="61"/>
      <c r="C7" s="62"/>
      <c r="D7" s="62"/>
      <c r="E7" s="62"/>
      <c r="F7" s="63"/>
      <c r="I7" s="125" t="s">
        <v>69</v>
      </c>
      <c r="J7" s="124" t="s">
        <v>68</v>
      </c>
    </row>
    <row r="8" spans="1:17" ht="15" thickBot="1">
      <c r="B8" s="64"/>
      <c r="C8" s="65"/>
      <c r="D8" s="65"/>
      <c r="E8" s="65"/>
      <c r="F8" s="66"/>
      <c r="I8" s="126" t="s">
        <v>66</v>
      </c>
      <c r="J8" s="127" t="s">
        <v>67</v>
      </c>
      <c r="K8" s="121"/>
    </row>
    <row r="9" spans="1:17" ht="15" customHeight="1" thickBot="1">
      <c r="I9" s="87" t="s">
        <v>61</v>
      </c>
      <c r="J9" s="88"/>
      <c r="K9" s="88"/>
      <c r="L9" s="88"/>
      <c r="M9" s="89"/>
      <c r="O9" s="27"/>
      <c r="P9" s="27"/>
      <c r="Q9" s="27"/>
    </row>
    <row r="10" spans="1:17">
      <c r="B10" s="56" t="s">
        <v>26</v>
      </c>
      <c r="C10" s="57"/>
      <c r="D10" s="26"/>
      <c r="E10" s="56" t="s">
        <v>27</v>
      </c>
      <c r="F10" s="57"/>
      <c r="I10" s="90"/>
      <c r="J10" s="120"/>
      <c r="K10" s="120"/>
      <c r="L10" s="120"/>
      <c r="M10" s="92"/>
    </row>
    <row r="11" spans="1:17" ht="15" thickBot="1">
      <c r="A11" s="12"/>
      <c r="B11" s="24" t="s">
        <v>28</v>
      </c>
      <c r="C11" s="25" t="s">
        <v>29</v>
      </c>
      <c r="E11" s="24" t="s">
        <v>28</v>
      </c>
      <c r="F11" s="25" t="s">
        <v>29</v>
      </c>
      <c r="I11" s="93"/>
      <c r="J11" s="94"/>
      <c r="K11" s="94"/>
      <c r="L11" s="94"/>
      <c r="M11" s="95"/>
    </row>
    <row r="12" spans="1:17" ht="15" thickBot="1">
      <c r="A12" s="1"/>
      <c r="B12" s="22">
        <f ca="1">Random!E12+Random!E13+1</f>
        <v>4</v>
      </c>
      <c r="C12" s="23" t="str">
        <f>IF(F$3="Your Name", "Name in F3",Random!D$13^3*'Linear Fit'!B12^2+4*Random!D12)</f>
        <v>Name in F3</v>
      </c>
      <c r="E12" s="14">
        <f ca="1">ROUNDDOWN(B12-B12/2,0)</f>
        <v>2</v>
      </c>
      <c r="F12" s="30"/>
    </row>
    <row r="13" spans="1:17">
      <c r="A13" s="12"/>
      <c r="B13" s="18">
        <f ca="1">B12+Random!E14+1</f>
        <v>5</v>
      </c>
      <c r="C13" s="20" t="str">
        <f>IF(F$3="Your Name", "Name in F3",Random!D$13^3*'Linear Fit'!B13^2+4*Random!D13)</f>
        <v>Name in F3</v>
      </c>
      <c r="E13" s="14">
        <f t="shared" ref="E13:E22" ca="1" si="0">ROUND((B$17-B$12)/6,0)+E12</f>
        <v>4</v>
      </c>
      <c r="F13" s="30"/>
      <c r="I13" s="69" t="s">
        <v>30</v>
      </c>
      <c r="J13" s="70"/>
      <c r="K13" s="70"/>
      <c r="L13" s="70"/>
      <c r="M13" s="71"/>
    </row>
    <row r="14" spans="1:17">
      <c r="A14" s="12"/>
      <c r="B14" s="18">
        <f ca="1">B13+Random!E15+1</f>
        <v>9</v>
      </c>
      <c r="C14" s="20" t="str">
        <f>IF(F$3="Your Name", "Name in F3",Random!D$13^3*'Linear Fit'!B14^2+4*Random!D14)</f>
        <v>Name in F3</v>
      </c>
      <c r="E14" s="14">
        <f t="shared" ca="1" si="0"/>
        <v>6</v>
      </c>
      <c r="F14" s="30"/>
      <c r="I14" s="72"/>
      <c r="J14" s="73"/>
      <c r="K14" s="73"/>
      <c r="L14" s="73"/>
      <c r="M14" s="74"/>
    </row>
    <row r="15" spans="1:17">
      <c r="B15" s="18">
        <f ca="1">B14+Random!E16+1</f>
        <v>11</v>
      </c>
      <c r="C15" s="20" t="str">
        <f>IF(F$3="Your Name", "Name in F3",Random!D$13^3*'Linear Fit'!B15^2+4*Random!D15)</f>
        <v>Name in F3</v>
      </c>
      <c r="E15" s="14">
        <f t="shared" ca="1" si="0"/>
        <v>8</v>
      </c>
      <c r="F15" s="30"/>
      <c r="I15" s="72"/>
      <c r="J15" s="73"/>
      <c r="K15" s="73"/>
      <c r="L15" s="73"/>
      <c r="M15" s="74"/>
    </row>
    <row r="16" spans="1:17">
      <c r="B16" s="18">
        <f ca="1">B15+Random!E17+1</f>
        <v>16</v>
      </c>
      <c r="C16" s="20" t="str">
        <f>IF(F$3="Your Name", "Name in F3",Random!D$13^3*'Linear Fit'!B16^2+4*Random!D16)</f>
        <v>Name in F3</v>
      </c>
      <c r="E16" s="14">
        <f t="shared" ca="1" si="0"/>
        <v>10</v>
      </c>
      <c r="F16" s="30"/>
      <c r="I16" s="72"/>
      <c r="J16" s="73"/>
      <c r="K16" s="73"/>
      <c r="L16" s="73"/>
      <c r="M16" s="74"/>
    </row>
    <row r="17" spans="2:17" ht="15" thickBot="1">
      <c r="B17" s="19">
        <f ca="1">B16+Random!E18+1</f>
        <v>17</v>
      </c>
      <c r="C17" s="21" t="str">
        <f>IF(F$3="Your Name", "Name in F3",Random!D$13^3*'Linear Fit'!B17^2+4*Random!D17)</f>
        <v>Name in F3</v>
      </c>
      <c r="E17" s="14">
        <f t="shared" ca="1" si="0"/>
        <v>12</v>
      </c>
      <c r="F17" s="30"/>
      <c r="I17" s="72"/>
      <c r="J17" s="73"/>
      <c r="K17" s="73"/>
      <c r="L17" s="73"/>
      <c r="M17" s="74"/>
    </row>
    <row r="18" spans="2:17" ht="15" thickBot="1">
      <c r="E18" s="14">
        <f t="shared" ca="1" si="0"/>
        <v>14</v>
      </c>
      <c r="F18" s="30"/>
      <c r="I18" s="72"/>
      <c r="J18" s="73"/>
      <c r="K18" s="73"/>
      <c r="L18" s="73"/>
      <c r="M18" s="74"/>
    </row>
    <row r="19" spans="2:17" ht="15" thickBot="1">
      <c r="B19" s="48" t="s">
        <v>31</v>
      </c>
      <c r="C19" s="49"/>
      <c r="E19" s="14">
        <f t="shared" ca="1" si="0"/>
        <v>16</v>
      </c>
      <c r="F19" s="30"/>
      <c r="I19" s="72"/>
      <c r="J19" s="73"/>
      <c r="K19" s="73"/>
      <c r="L19" s="73"/>
      <c r="M19" s="74"/>
    </row>
    <row r="20" spans="2:17">
      <c r="B20" s="16"/>
      <c r="C20" s="2" t="s">
        <v>32</v>
      </c>
      <c r="E20" s="14">
        <f t="shared" ca="1" si="0"/>
        <v>18</v>
      </c>
      <c r="F20" s="30"/>
      <c r="I20" s="72"/>
      <c r="J20" s="73"/>
      <c r="K20" s="73"/>
      <c r="L20" s="73"/>
      <c r="M20" s="74"/>
    </row>
    <row r="21" spans="2:17" ht="15" thickBot="1">
      <c r="B21" s="17"/>
      <c r="C21" s="3" t="s">
        <v>33</v>
      </c>
      <c r="E21" s="14">
        <f t="shared" ca="1" si="0"/>
        <v>20</v>
      </c>
      <c r="F21" s="30"/>
      <c r="I21" s="72"/>
      <c r="J21" s="73"/>
      <c r="K21" s="73"/>
      <c r="L21" s="73"/>
      <c r="M21" s="74"/>
    </row>
    <row r="22" spans="2:17" ht="15" thickBot="1">
      <c r="E22" s="15">
        <f t="shared" ca="1" si="0"/>
        <v>22</v>
      </c>
      <c r="F22" s="30"/>
      <c r="I22" s="72"/>
      <c r="J22" s="73"/>
      <c r="K22" s="73"/>
      <c r="L22" s="73"/>
      <c r="M22" s="74"/>
    </row>
    <row r="23" spans="2:17" ht="15" thickBot="1">
      <c r="B23" s="48" t="s">
        <v>34</v>
      </c>
      <c r="C23" s="49"/>
      <c r="E23" s="52" t="s">
        <v>35</v>
      </c>
      <c r="F23" s="53"/>
      <c r="I23" s="72"/>
      <c r="J23" s="73"/>
      <c r="K23" s="73"/>
      <c r="L23" s="73"/>
      <c r="M23" s="74"/>
    </row>
    <row r="24" spans="2:17" ht="15" thickBot="1">
      <c r="B24" s="50"/>
      <c r="C24" s="51"/>
      <c r="E24" s="54"/>
      <c r="F24" s="55"/>
      <c r="I24" s="75"/>
      <c r="J24" s="76"/>
      <c r="K24" s="76"/>
      <c r="L24" s="76"/>
      <c r="M24" s="77"/>
    </row>
    <row r="25" spans="2:17" ht="15" thickBot="1"/>
    <row r="26" spans="2:17" ht="15" thickBot="1">
      <c r="H26" s="78" t="str">
        <f ca="1">"Use your graph to approximate the stopping distance at a speed of  "&amp;(E20+E21)/2&amp;" m/s"</f>
        <v>Use your graph to approximate the stopping distance at a speed of  19 m/s</v>
      </c>
      <c r="I26" s="79"/>
      <c r="J26" s="79"/>
      <c r="K26" s="79"/>
      <c r="L26" s="79"/>
      <c r="M26" s="79"/>
      <c r="N26" s="107"/>
    </row>
    <row r="27" spans="2:17" ht="14.4" customHeight="1">
      <c r="H27" s="111" t="s">
        <v>36</v>
      </c>
      <c r="I27" s="112"/>
      <c r="J27" s="112"/>
      <c r="K27" s="112"/>
      <c r="L27" s="112"/>
      <c r="M27" s="113"/>
    </row>
    <row r="28" spans="2:17" ht="15" customHeight="1" thickBot="1">
      <c r="H28" s="114"/>
      <c r="I28" s="115"/>
      <c r="J28" s="115"/>
      <c r="K28" s="115"/>
      <c r="L28" s="115"/>
      <c r="M28" s="116"/>
      <c r="Q28" s="110"/>
    </row>
    <row r="29" spans="2:17" ht="15" thickBot="1">
      <c r="G29" s="137" t="s">
        <v>70</v>
      </c>
      <c r="H29" s="103" t="s">
        <v>63</v>
      </c>
      <c r="I29" s="104"/>
      <c r="J29" s="104"/>
      <c r="K29" s="104"/>
      <c r="L29" s="117"/>
      <c r="M29" s="105"/>
      <c r="N29" s="108" t="s">
        <v>64</v>
      </c>
      <c r="O29" s="108"/>
      <c r="P29" s="109"/>
    </row>
    <row r="30" spans="2:17" ht="15" thickBot="1">
      <c r="G30" s="137" t="s">
        <v>71</v>
      </c>
      <c r="H30" s="118" t="s">
        <v>65</v>
      </c>
      <c r="I30" s="119"/>
      <c r="J30" s="119"/>
      <c r="K30" s="119"/>
      <c r="L30" s="119"/>
      <c r="M30" s="119"/>
      <c r="N30" s="105"/>
      <c r="O30" s="106" t="s">
        <v>62</v>
      </c>
    </row>
    <row r="31" spans="2:17">
      <c r="F31" s="138" t="s">
        <v>72</v>
      </c>
      <c r="G31" s="139"/>
      <c r="H31" s="129"/>
      <c r="I31" s="128"/>
      <c r="J31" s="128"/>
      <c r="K31" s="128"/>
      <c r="L31" s="128"/>
      <c r="M31" s="130"/>
    </row>
    <row r="32" spans="2:17" ht="14.4" customHeight="1">
      <c r="H32" s="131"/>
      <c r="I32" s="132"/>
      <c r="J32" s="132"/>
      <c r="K32" s="132"/>
      <c r="L32" s="132"/>
      <c r="M32" s="133"/>
    </row>
    <row r="33" spans="8:13" ht="15" thickBot="1">
      <c r="H33" s="134"/>
      <c r="I33" s="135"/>
      <c r="J33" s="135"/>
      <c r="K33" s="135"/>
      <c r="L33" s="135"/>
      <c r="M33" s="136"/>
    </row>
  </sheetData>
  <sheetProtection formatCells="0"/>
  <customSheetViews>
    <customSheetView guid="{1E6EB3EC-58F4-42D5-9462-6EAD6EC3491E}">
      <selection activeCell="G24" sqref="G24"/>
      <pageMargins left="0" right="0" top="0" bottom="0" header="0" footer="0"/>
      <pageSetup orientation="portrait" r:id="rId1"/>
    </customSheetView>
  </customSheetViews>
  <mergeCells count="19">
    <mergeCell ref="F31:G31"/>
    <mergeCell ref="N29:P29"/>
    <mergeCell ref="H30:M30"/>
    <mergeCell ref="H27:M28"/>
    <mergeCell ref="I2:J2"/>
    <mergeCell ref="I13:M24"/>
    <mergeCell ref="H26:M26"/>
    <mergeCell ref="I9:M11"/>
    <mergeCell ref="H29:K29"/>
    <mergeCell ref="H31:M33"/>
    <mergeCell ref="B1:F2"/>
    <mergeCell ref="B3:E3"/>
    <mergeCell ref="B23:C23"/>
    <mergeCell ref="B24:C24"/>
    <mergeCell ref="E23:F24"/>
    <mergeCell ref="B10:C10"/>
    <mergeCell ref="B19:C19"/>
    <mergeCell ref="E10:F10"/>
    <mergeCell ref="B5:F8"/>
  </mergeCells>
  <dataValidations count="1">
    <dataValidation type="list" allowBlank="1" showInputMessage="1" showErrorMessage="1" sqref="L29" xr:uid="{D62C56F7-79BA-4357-9C6D-DBE5DABDCA75}">
      <formula1>"increase by, decrease by"</formula1>
    </dataValidation>
  </dataValidations>
  <hyperlinks>
    <hyperlink ref="B1:F2" r:id="rId2" display="Video for this." xr:uid="{BD5C7101-D7FE-4519-BCDD-60C638344AEE}"/>
  </hyperlinks>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x14:cfRule type="expression" priority="1" id="{D64C25B9-D1C5-43E8-AA8C-93B967BFE32F}">
            <xm:f>AND($F$3&lt;&gt;"Your Name",B12=GradeShhet!B12)</xm:f>
            <x14:dxf>
              <font>
                <b/>
                <i val="0"/>
                <color rgb="FF00B050"/>
              </font>
              <fill>
                <patternFill>
                  <bgColor theme="0" tint="-0.14996795556505021"/>
                </patternFill>
              </fill>
            </x14:dxf>
          </x14:cfRule>
          <xm:sqref>B20:B21 F12:F22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E341-A7C9-447F-A0CE-0F63AD8EEA86}">
  <dimension ref="A1:Q30"/>
  <sheetViews>
    <sheetView workbookViewId="0">
      <selection activeCell="B22" sqref="B22"/>
    </sheetView>
  </sheetViews>
  <sheetFormatPr defaultRowHeight="14.4"/>
  <cols>
    <col min="1" max="1" width="3.109375" customWidth="1"/>
    <col min="2" max="2" width="11.109375" bestFit="1" customWidth="1"/>
    <col min="3" max="3" width="11.44140625" bestFit="1" customWidth="1"/>
    <col min="4" max="4" width="3.6640625" customWidth="1"/>
    <col min="5" max="5" width="11.109375" bestFit="1" customWidth="1"/>
    <col min="6" max="6" width="11.44140625" bestFit="1" customWidth="1"/>
    <col min="8" max="8" width="4" customWidth="1"/>
    <col min="9" max="9" width="16.6640625" bestFit="1" customWidth="1"/>
    <col min="10" max="10" width="18.5546875" bestFit="1" customWidth="1"/>
  </cols>
  <sheetData>
    <row r="1" spans="1:17" ht="15" customHeight="1" thickBot="1">
      <c r="B1" s="44" t="s">
        <v>10</v>
      </c>
      <c r="C1" s="44"/>
      <c r="D1" s="44"/>
      <c r="E1" s="44"/>
      <c r="F1" s="44"/>
    </row>
    <row r="2" spans="1:17" ht="15" customHeight="1" thickBot="1">
      <c r="B2" s="44"/>
      <c r="C2" s="44"/>
      <c r="D2" s="44"/>
      <c r="E2" s="44"/>
      <c r="F2" s="44"/>
      <c r="I2" s="67" t="s">
        <v>11</v>
      </c>
      <c r="J2" s="68"/>
    </row>
    <row r="3" spans="1:17" ht="16.2" thickBot="1">
      <c r="B3" s="45" t="s">
        <v>12</v>
      </c>
      <c r="C3" s="46"/>
      <c r="D3" s="46"/>
      <c r="E3" s="47"/>
      <c r="F3" s="29" t="s">
        <v>13</v>
      </c>
      <c r="I3" s="4" t="s">
        <v>14</v>
      </c>
      <c r="J3" s="5" t="s">
        <v>15</v>
      </c>
    </row>
    <row r="4" spans="1:17" ht="15" thickBot="1">
      <c r="I4" s="6" t="s">
        <v>16</v>
      </c>
      <c r="J4" s="7" t="s">
        <v>17</v>
      </c>
    </row>
    <row r="5" spans="1:17" ht="14.4" customHeight="1">
      <c r="B5" s="58" t="s">
        <v>18</v>
      </c>
      <c r="C5" s="59"/>
      <c r="D5" s="59"/>
      <c r="E5" s="59"/>
      <c r="F5" s="60"/>
      <c r="I5" s="8" t="s">
        <v>19</v>
      </c>
      <c r="J5" s="7" t="s">
        <v>20</v>
      </c>
    </row>
    <row r="6" spans="1:17">
      <c r="B6" s="61"/>
      <c r="C6" s="62"/>
      <c r="D6" s="62"/>
      <c r="E6" s="62"/>
      <c r="F6" s="63"/>
      <c r="I6" s="9" t="s">
        <v>21</v>
      </c>
      <c r="J6" s="7" t="s">
        <v>22</v>
      </c>
    </row>
    <row r="7" spans="1:17" ht="15" thickBot="1">
      <c r="B7" s="61"/>
      <c r="C7" s="62"/>
      <c r="D7" s="62"/>
      <c r="E7" s="62"/>
      <c r="F7" s="63"/>
      <c r="I7" s="10" t="s">
        <v>23</v>
      </c>
      <c r="J7" s="11" t="s">
        <v>24</v>
      </c>
    </row>
    <row r="8" spans="1:17" ht="15" thickBot="1">
      <c r="B8" s="64"/>
      <c r="C8" s="65"/>
      <c r="D8" s="65"/>
      <c r="E8" s="65"/>
      <c r="F8" s="66"/>
    </row>
    <row r="9" spans="1:17" ht="15" customHeight="1" thickBot="1">
      <c r="I9" s="87" t="s">
        <v>25</v>
      </c>
      <c r="J9" s="88"/>
      <c r="K9" s="88"/>
      <c r="L9" s="88"/>
      <c r="M9" s="89"/>
      <c r="O9" s="27"/>
      <c r="P9" s="27"/>
      <c r="Q9" s="27"/>
    </row>
    <row r="10" spans="1:17">
      <c r="B10" s="56" t="s">
        <v>26</v>
      </c>
      <c r="C10" s="57"/>
      <c r="D10" s="26"/>
      <c r="E10" s="56" t="s">
        <v>27</v>
      </c>
      <c r="F10" s="57"/>
      <c r="I10" s="90"/>
      <c r="J10" s="91"/>
      <c r="K10" s="91"/>
      <c r="L10" s="91"/>
      <c r="M10" s="92"/>
    </row>
    <row r="11" spans="1:17" ht="15" thickBot="1">
      <c r="A11" s="12"/>
      <c r="B11" s="24" t="s">
        <v>28</v>
      </c>
      <c r="C11" s="25" t="s">
        <v>29</v>
      </c>
      <c r="E11" s="24" t="s">
        <v>28</v>
      </c>
      <c r="F11" s="25" t="s">
        <v>29</v>
      </c>
      <c r="I11" s="93"/>
      <c r="J11" s="94"/>
      <c r="K11" s="94"/>
      <c r="L11" s="94"/>
      <c r="M11" s="95"/>
    </row>
    <row r="12" spans="1:17" ht="15" thickBot="1">
      <c r="A12" s="1"/>
      <c r="B12" s="22">
        <f ca="1">Random!E12+Random!E13+1</f>
        <v>4</v>
      </c>
      <c r="C12" s="23" t="str">
        <f>IF('Linear Fit'!F$3="Your Name","",'Linear Fit'!C12)</f>
        <v/>
      </c>
      <c r="E12" s="14">
        <f ca="1">ROUNDDOWN(B12-B12/2,0)</f>
        <v>2</v>
      </c>
      <c r="F12" s="30" cm="1">
        <f t="array" aca="1" ref="F12:F22" ca="1">B21*E12:E22+B20</f>
        <v>0</v>
      </c>
    </row>
    <row r="13" spans="1:17">
      <c r="A13" s="12"/>
      <c r="B13" s="18">
        <f ca="1">B12+Random!E14+1</f>
        <v>5</v>
      </c>
      <c r="C13" s="23" t="str">
        <f>IF('Linear Fit'!F$3="Your Name","",'Linear Fit'!C13)</f>
        <v/>
      </c>
      <c r="E13" s="14">
        <f t="shared" ref="E13:E22" ca="1" si="0">ROUND((B$17-B$12)/6,0)+E12</f>
        <v>4</v>
      </c>
      <c r="F13" s="30">
        <f ca="1"/>
        <v>0</v>
      </c>
      <c r="I13" s="69" t="s">
        <v>30</v>
      </c>
      <c r="J13" s="70"/>
      <c r="K13" s="70"/>
      <c r="L13" s="70"/>
      <c r="M13" s="71"/>
    </row>
    <row r="14" spans="1:17">
      <c r="A14" s="12"/>
      <c r="B14" s="18">
        <f ca="1">B13+Random!E15+1</f>
        <v>9</v>
      </c>
      <c r="C14" s="23" t="str">
        <f>IF('Linear Fit'!F$3="Your Name","",'Linear Fit'!C14)</f>
        <v/>
      </c>
      <c r="E14" s="14">
        <f t="shared" ca="1" si="0"/>
        <v>6</v>
      </c>
      <c r="F14" s="30">
        <f ca="1"/>
        <v>0</v>
      </c>
      <c r="I14" s="72"/>
      <c r="J14" s="73"/>
      <c r="K14" s="73"/>
      <c r="L14" s="73"/>
      <c r="M14" s="74"/>
    </row>
    <row r="15" spans="1:17">
      <c r="B15" s="18">
        <f ca="1">B14+Random!E16+1</f>
        <v>11</v>
      </c>
      <c r="C15" s="23" t="str">
        <f>IF('Linear Fit'!F$3="Your Name","",'Linear Fit'!C15)</f>
        <v/>
      </c>
      <c r="E15" s="14">
        <f t="shared" ca="1" si="0"/>
        <v>8</v>
      </c>
      <c r="F15" s="30">
        <f ca="1"/>
        <v>0</v>
      </c>
      <c r="I15" s="72"/>
      <c r="J15" s="73"/>
      <c r="K15" s="73"/>
      <c r="L15" s="73"/>
      <c r="M15" s="74"/>
    </row>
    <row r="16" spans="1:17">
      <c r="B16" s="18">
        <f ca="1">B15+Random!E17+1</f>
        <v>16</v>
      </c>
      <c r="C16" s="23" t="str">
        <f>IF('Linear Fit'!F$3="Your Name","",'Linear Fit'!C16)</f>
        <v/>
      </c>
      <c r="E16" s="14">
        <f t="shared" ca="1" si="0"/>
        <v>10</v>
      </c>
      <c r="F16" s="30">
        <f ca="1"/>
        <v>0</v>
      </c>
      <c r="I16" s="72"/>
      <c r="J16" s="73"/>
      <c r="K16" s="73"/>
      <c r="L16" s="73"/>
      <c r="M16" s="74"/>
    </row>
    <row r="17" spans="2:14" ht="15" thickBot="1">
      <c r="B17" s="19">
        <f ca="1">B16+Random!E18+1</f>
        <v>17</v>
      </c>
      <c r="C17" s="23" t="str">
        <f>IF('Linear Fit'!F$3="Your Name","",'Linear Fit'!C17)</f>
        <v/>
      </c>
      <c r="E17" s="14">
        <f t="shared" ca="1" si="0"/>
        <v>12</v>
      </c>
      <c r="F17" s="30">
        <f ca="1"/>
        <v>0</v>
      </c>
      <c r="I17" s="72"/>
      <c r="J17" s="73"/>
      <c r="K17" s="73"/>
      <c r="L17" s="73"/>
      <c r="M17" s="74"/>
    </row>
    <row r="18" spans="2:14" ht="15" thickBot="1">
      <c r="E18" s="14">
        <f t="shared" ca="1" si="0"/>
        <v>14</v>
      </c>
      <c r="F18" s="30">
        <f ca="1"/>
        <v>0</v>
      </c>
      <c r="I18" s="72"/>
      <c r="J18" s="73"/>
      <c r="K18" s="73"/>
      <c r="L18" s="73"/>
      <c r="M18" s="74"/>
    </row>
    <row r="19" spans="2:14" ht="15" thickBot="1">
      <c r="B19" s="48" t="s">
        <v>31</v>
      </c>
      <c r="C19" s="49"/>
      <c r="E19" s="14">
        <f t="shared" ca="1" si="0"/>
        <v>16</v>
      </c>
      <c r="F19" s="30">
        <f ca="1"/>
        <v>0</v>
      </c>
      <c r="I19" s="72"/>
      <c r="J19" s="73"/>
      <c r="K19" s="73"/>
      <c r="L19" s="73"/>
      <c r="M19" s="74"/>
    </row>
    <row r="20" spans="2:14">
      <c r="B20" s="16">
        <f>IF('Linear Fit'!F3="Your Name",,INTERCEPT(GradeShhet!C12:C17,GradeShhet!B12:B17))</f>
        <v>0</v>
      </c>
      <c r="C20" s="2" t="s">
        <v>32</v>
      </c>
      <c r="E20" s="14">
        <f t="shared" ca="1" si="0"/>
        <v>18</v>
      </c>
      <c r="F20" s="30">
        <f ca="1"/>
        <v>0</v>
      </c>
      <c r="I20" s="72"/>
      <c r="J20" s="73"/>
      <c r="K20" s="73"/>
      <c r="L20" s="73"/>
      <c r="M20" s="74"/>
    </row>
    <row r="21" spans="2:14" ht="15" thickBot="1">
      <c r="B21" s="17">
        <f>IF('Linear Fit'!F3="Your Name",,SLOPE(GradeShhet!C12:C17,GradeShhet!B12:B17))</f>
        <v>0</v>
      </c>
      <c r="C21" s="3" t="s">
        <v>33</v>
      </c>
      <c r="E21" s="14">
        <f t="shared" ca="1" si="0"/>
        <v>20</v>
      </c>
      <c r="F21" s="30">
        <f ca="1"/>
        <v>0</v>
      </c>
      <c r="I21" s="72"/>
      <c r="J21" s="73"/>
      <c r="K21" s="73"/>
      <c r="L21" s="73"/>
      <c r="M21" s="74"/>
    </row>
    <row r="22" spans="2:14" ht="15" thickBot="1">
      <c r="E22" s="15">
        <f t="shared" ca="1" si="0"/>
        <v>22</v>
      </c>
      <c r="F22" s="30">
        <f ca="1"/>
        <v>0</v>
      </c>
      <c r="I22" s="72"/>
      <c r="J22" s="73"/>
      <c r="K22" s="73"/>
      <c r="L22" s="73"/>
      <c r="M22" s="74"/>
    </row>
    <row r="23" spans="2:14" ht="15" thickBot="1">
      <c r="B23" s="48" t="s">
        <v>34</v>
      </c>
      <c r="C23" s="49"/>
      <c r="E23" s="52" t="s">
        <v>35</v>
      </c>
      <c r="F23" s="53"/>
      <c r="I23" s="72"/>
      <c r="J23" s="73"/>
      <c r="K23" s="73"/>
      <c r="L23" s="73"/>
      <c r="M23" s="74"/>
    </row>
    <row r="24" spans="2:14" ht="15" thickBot="1">
      <c r="B24" s="50"/>
      <c r="C24" s="51"/>
      <c r="E24" s="54"/>
      <c r="F24" s="55"/>
      <c r="I24" s="75"/>
      <c r="J24" s="76"/>
      <c r="K24" s="76"/>
      <c r="L24" s="76"/>
      <c r="M24" s="77"/>
    </row>
    <row r="25" spans="2:14" ht="15" thickBot="1"/>
    <row r="26" spans="2:14" ht="15" thickBot="1">
      <c r="H26" s="78" t="str">
        <f ca="1">"Use your graph to approximate the stopping distance at a speed of  "&amp;(E20+E21)/2&amp;" m/s"</f>
        <v>Use your graph to approximate the stopping distance at a speed of  19 m/s</v>
      </c>
      <c r="I26" s="79"/>
      <c r="J26" s="79"/>
      <c r="K26" s="79"/>
      <c r="L26" s="79"/>
      <c r="M26" s="80"/>
      <c r="N26" s="28"/>
    </row>
    <row r="27" spans="2:14">
      <c r="H27" s="81" t="s">
        <v>36</v>
      </c>
      <c r="I27" s="82"/>
      <c r="J27" s="96"/>
      <c r="K27" s="96"/>
      <c r="L27" s="96"/>
      <c r="M27" s="96"/>
      <c r="N27" s="97"/>
    </row>
    <row r="28" spans="2:14">
      <c r="H28" s="83"/>
      <c r="I28" s="84"/>
      <c r="J28" s="98"/>
      <c r="K28" s="98"/>
      <c r="L28" s="98"/>
      <c r="M28" s="98"/>
      <c r="N28" s="99"/>
    </row>
    <row r="29" spans="2:14">
      <c r="H29" s="83"/>
      <c r="I29" s="84"/>
      <c r="J29" s="98"/>
      <c r="K29" s="98"/>
      <c r="L29" s="98"/>
      <c r="M29" s="98"/>
      <c r="N29" s="99"/>
    </row>
    <row r="30" spans="2:14" ht="15" thickBot="1">
      <c r="H30" s="85"/>
      <c r="I30" s="86"/>
      <c r="J30" s="100"/>
      <c r="K30" s="100"/>
      <c r="L30" s="100"/>
      <c r="M30" s="100"/>
      <c r="N30" s="101"/>
    </row>
  </sheetData>
  <mergeCells count="15">
    <mergeCell ref="H27:I30"/>
    <mergeCell ref="J27:N30"/>
    <mergeCell ref="I13:M24"/>
    <mergeCell ref="B19:C19"/>
    <mergeCell ref="B23:C23"/>
    <mergeCell ref="E23:F24"/>
    <mergeCell ref="B24:C24"/>
    <mergeCell ref="H26:M26"/>
    <mergeCell ref="B1:F2"/>
    <mergeCell ref="I2:J2"/>
    <mergeCell ref="B3:E3"/>
    <mergeCell ref="B5:F8"/>
    <mergeCell ref="I9:M11"/>
    <mergeCell ref="B10:C10"/>
    <mergeCell ref="E10:F10"/>
  </mergeCells>
  <hyperlinks>
    <hyperlink ref="B1:F2" r:id="rId1" display="Video for this." xr:uid="{2B7E6391-F078-42DE-A524-9DA0759D9D57}"/>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33362-47A8-4EAC-A04C-EF1DCF03C8B4}">
  <dimension ref="A1:W33"/>
  <sheetViews>
    <sheetView workbookViewId="0">
      <selection activeCell="B6" sqref="A1:W33"/>
    </sheetView>
  </sheetViews>
  <sheetFormatPr defaultRowHeight="14.4"/>
  <sheetData>
    <row r="1" spans="1:23">
      <c r="H1">
        <v>1</v>
      </c>
      <c r="I1">
        <v>2</v>
      </c>
      <c r="J1">
        <v>3</v>
      </c>
      <c r="K1">
        <v>4</v>
      </c>
      <c r="L1">
        <v>5</v>
      </c>
      <c r="M1">
        <v>6</v>
      </c>
      <c r="N1">
        <v>7</v>
      </c>
      <c r="O1">
        <v>8</v>
      </c>
      <c r="P1">
        <v>9</v>
      </c>
      <c r="Q1">
        <v>10</v>
      </c>
      <c r="R1">
        <v>11</v>
      </c>
      <c r="S1">
        <v>12</v>
      </c>
      <c r="T1">
        <v>13</v>
      </c>
      <c r="U1">
        <v>14</v>
      </c>
      <c r="V1">
        <v>15</v>
      </c>
      <c r="W1">
        <v>16</v>
      </c>
    </row>
    <row r="2" spans="1:23">
      <c r="G2">
        <v>1</v>
      </c>
      <c r="H2">
        <v>2</v>
      </c>
      <c r="I2">
        <v>3</v>
      </c>
      <c r="J2">
        <v>5</v>
      </c>
      <c r="K2">
        <v>7</v>
      </c>
      <c r="L2">
        <v>11</v>
      </c>
      <c r="M2">
        <v>13</v>
      </c>
      <c r="N2">
        <v>17</v>
      </c>
      <c r="O2">
        <v>19</v>
      </c>
      <c r="P2">
        <v>23</v>
      </c>
      <c r="Q2">
        <v>29</v>
      </c>
      <c r="R2">
        <v>947</v>
      </c>
      <c r="S2">
        <v>953</v>
      </c>
      <c r="T2">
        <v>967</v>
      </c>
      <c r="U2">
        <v>971</v>
      </c>
      <c r="V2">
        <v>977</v>
      </c>
      <c r="W2">
        <v>983</v>
      </c>
    </row>
    <row r="3" spans="1:23">
      <c r="G3">
        <v>2</v>
      </c>
      <c r="H3">
        <v>31</v>
      </c>
      <c r="I3">
        <v>37</v>
      </c>
      <c r="J3">
        <v>41</v>
      </c>
      <c r="K3">
        <v>43</v>
      </c>
      <c r="L3">
        <v>47</v>
      </c>
      <c r="M3">
        <v>53</v>
      </c>
      <c r="N3">
        <v>59</v>
      </c>
      <c r="O3">
        <v>61</v>
      </c>
      <c r="P3">
        <v>67</v>
      </c>
      <c r="Q3">
        <v>71</v>
      </c>
      <c r="R3">
        <v>991</v>
      </c>
      <c r="S3">
        <v>997</v>
      </c>
      <c r="T3">
        <v>1009</v>
      </c>
      <c r="U3">
        <v>1013</v>
      </c>
      <c r="V3">
        <v>1019</v>
      </c>
      <c r="W3">
        <v>1021</v>
      </c>
    </row>
    <row r="4" spans="1:23">
      <c r="G4">
        <v>3</v>
      </c>
      <c r="H4">
        <v>73</v>
      </c>
      <c r="I4">
        <v>79</v>
      </c>
      <c r="J4">
        <v>83</v>
      </c>
      <c r="K4">
        <v>89</v>
      </c>
      <c r="L4">
        <v>97</v>
      </c>
      <c r="M4">
        <v>101</v>
      </c>
      <c r="N4">
        <v>103</v>
      </c>
      <c r="O4">
        <v>107</v>
      </c>
      <c r="P4">
        <v>109</v>
      </c>
      <c r="Q4">
        <v>113</v>
      </c>
      <c r="R4">
        <v>1031</v>
      </c>
      <c r="S4">
        <v>1033</v>
      </c>
      <c r="T4">
        <v>1039</v>
      </c>
      <c r="U4">
        <v>1049</v>
      </c>
      <c r="V4">
        <v>1051</v>
      </c>
      <c r="W4">
        <v>1061</v>
      </c>
    </row>
    <row r="5" spans="1:23">
      <c r="G5">
        <v>4</v>
      </c>
      <c r="H5">
        <v>127</v>
      </c>
      <c r="I5">
        <v>131</v>
      </c>
      <c r="J5">
        <v>137</v>
      </c>
      <c r="K5">
        <v>139</v>
      </c>
      <c r="L5">
        <v>149</v>
      </c>
      <c r="M5">
        <v>151</v>
      </c>
      <c r="N5">
        <v>157</v>
      </c>
      <c r="O5">
        <v>163</v>
      </c>
      <c r="P5">
        <v>167</v>
      </c>
      <c r="Q5">
        <v>173</v>
      </c>
      <c r="R5">
        <v>1993</v>
      </c>
      <c r="S5">
        <v>1997</v>
      </c>
      <c r="T5">
        <v>1999</v>
      </c>
      <c r="U5">
        <v>2003</v>
      </c>
      <c r="V5">
        <v>2011</v>
      </c>
      <c r="W5">
        <v>2017</v>
      </c>
    </row>
    <row r="6" spans="1:23">
      <c r="A6">
        <v>1</v>
      </c>
      <c r="B6">
        <f>CODE(MID('Linear Fit'!F$3,A6,1))</f>
        <v>89</v>
      </c>
      <c r="C6">
        <f>MOD(B6,16)</f>
        <v>9</v>
      </c>
      <c r="D6">
        <f>MOD((B6-C6)/16,16)</f>
        <v>5</v>
      </c>
      <c r="E6">
        <f ca="1">INDIRECT("R"&amp;(C6+1)&amp;"C"&amp;(D6+7),0)</f>
        <v>439</v>
      </c>
      <c r="G6">
        <v>5</v>
      </c>
      <c r="H6">
        <v>179</v>
      </c>
      <c r="I6">
        <v>181</v>
      </c>
      <c r="J6">
        <v>191</v>
      </c>
      <c r="K6">
        <v>193</v>
      </c>
      <c r="L6">
        <v>197</v>
      </c>
      <c r="M6">
        <v>199</v>
      </c>
      <c r="N6">
        <v>211</v>
      </c>
      <c r="O6">
        <v>223</v>
      </c>
      <c r="P6">
        <v>227</v>
      </c>
      <c r="Q6">
        <v>229</v>
      </c>
      <c r="R6">
        <v>2063</v>
      </c>
      <c r="S6">
        <v>2069</v>
      </c>
      <c r="T6">
        <v>2081</v>
      </c>
      <c r="U6">
        <v>2083</v>
      </c>
      <c r="V6">
        <v>2087</v>
      </c>
      <c r="W6">
        <v>2089</v>
      </c>
    </row>
    <row r="7" spans="1:23">
      <c r="A7">
        <v>2</v>
      </c>
      <c r="B7">
        <f>CODE(MID('Linear Fit'!F$3,A7,1))</f>
        <v>111</v>
      </c>
      <c r="C7">
        <f t="shared" ref="C7:C10" si="0">MOD(B7,16)</f>
        <v>15</v>
      </c>
      <c r="D7">
        <f t="shared" ref="D7:D10" si="1">MOD((B7-C7)/16,16)</f>
        <v>6</v>
      </c>
      <c r="E7">
        <f t="shared" ref="E7:E10" ca="1" si="2">INDIRECT("R"&amp;(C7+1)&amp;"C"&amp;(D7+7),0)</f>
        <v>839</v>
      </c>
      <c r="G7">
        <v>6</v>
      </c>
      <c r="H7">
        <v>233</v>
      </c>
      <c r="I7">
        <v>239</v>
      </c>
      <c r="J7">
        <v>241</v>
      </c>
      <c r="K7">
        <v>251</v>
      </c>
      <c r="L7">
        <v>257</v>
      </c>
      <c r="M7">
        <v>263</v>
      </c>
      <c r="N7">
        <v>269</v>
      </c>
      <c r="O7">
        <v>271</v>
      </c>
      <c r="P7">
        <v>277</v>
      </c>
      <c r="Q7">
        <v>281</v>
      </c>
      <c r="R7">
        <v>2131</v>
      </c>
      <c r="S7">
        <v>2137</v>
      </c>
      <c r="T7">
        <v>2141</v>
      </c>
      <c r="U7">
        <v>2143</v>
      </c>
      <c r="V7">
        <v>2153</v>
      </c>
      <c r="W7">
        <v>2161</v>
      </c>
    </row>
    <row r="8" spans="1:23">
      <c r="A8">
        <v>3</v>
      </c>
      <c r="B8">
        <f>CODE(MID('Linear Fit'!F$3,A8,1))</f>
        <v>117</v>
      </c>
      <c r="C8">
        <f t="shared" si="0"/>
        <v>5</v>
      </c>
      <c r="D8">
        <f t="shared" si="1"/>
        <v>7</v>
      </c>
      <c r="E8">
        <f t="shared" ca="1" si="2"/>
        <v>211</v>
      </c>
      <c r="G8">
        <v>7</v>
      </c>
      <c r="H8">
        <v>283</v>
      </c>
      <c r="I8">
        <v>293</v>
      </c>
      <c r="J8">
        <v>307</v>
      </c>
      <c r="K8">
        <v>311</v>
      </c>
      <c r="L8">
        <v>313</v>
      </c>
      <c r="M8">
        <v>317</v>
      </c>
      <c r="N8">
        <v>331</v>
      </c>
      <c r="O8">
        <v>337</v>
      </c>
      <c r="P8">
        <v>347</v>
      </c>
      <c r="Q8">
        <v>349</v>
      </c>
      <c r="R8">
        <v>2221</v>
      </c>
      <c r="S8">
        <v>2237</v>
      </c>
      <c r="T8">
        <v>2239</v>
      </c>
      <c r="U8">
        <v>2243</v>
      </c>
      <c r="V8">
        <v>2251</v>
      </c>
      <c r="W8">
        <v>2267</v>
      </c>
    </row>
    <row r="9" spans="1:23">
      <c r="A9">
        <v>4</v>
      </c>
      <c r="B9">
        <f>CODE(MID('Linear Fit'!F$3,A9,1))</f>
        <v>114</v>
      </c>
      <c r="C9">
        <f t="shared" si="0"/>
        <v>2</v>
      </c>
      <c r="D9">
        <f t="shared" si="1"/>
        <v>7</v>
      </c>
      <c r="E9">
        <f t="shared" ca="1" si="2"/>
        <v>59</v>
      </c>
      <c r="G9">
        <v>8</v>
      </c>
      <c r="H9">
        <v>353</v>
      </c>
      <c r="I9">
        <v>359</v>
      </c>
      <c r="J9">
        <v>367</v>
      </c>
      <c r="K9">
        <v>373</v>
      </c>
      <c r="L9">
        <v>379</v>
      </c>
      <c r="M9">
        <v>383</v>
      </c>
      <c r="N9">
        <v>389</v>
      </c>
      <c r="O9">
        <v>397</v>
      </c>
      <c r="P9">
        <v>401</v>
      </c>
      <c r="Q9">
        <v>409</v>
      </c>
      <c r="R9">
        <v>2293</v>
      </c>
      <c r="S9">
        <v>2297</v>
      </c>
      <c r="T9">
        <v>2309</v>
      </c>
      <c r="U9">
        <v>2311</v>
      </c>
      <c r="V9">
        <v>2333</v>
      </c>
      <c r="W9">
        <v>2339</v>
      </c>
    </row>
    <row r="10" spans="1:23">
      <c r="A10">
        <v>5</v>
      </c>
      <c r="B10">
        <f>CODE(MID('Linear Fit'!F$3,A10,1))</f>
        <v>32</v>
      </c>
      <c r="C10">
        <f t="shared" si="0"/>
        <v>0</v>
      </c>
      <c r="D10">
        <f t="shared" si="1"/>
        <v>2</v>
      </c>
      <c r="E10">
        <f t="shared" ca="1" si="2"/>
        <v>2</v>
      </c>
      <c r="G10">
        <v>9</v>
      </c>
      <c r="H10">
        <v>419</v>
      </c>
      <c r="I10">
        <v>421</v>
      </c>
      <c r="J10">
        <v>431</v>
      </c>
      <c r="K10">
        <v>433</v>
      </c>
      <c r="L10">
        <v>439</v>
      </c>
      <c r="M10">
        <v>443</v>
      </c>
      <c r="N10">
        <v>449</v>
      </c>
      <c r="O10">
        <v>457</v>
      </c>
      <c r="P10">
        <v>461</v>
      </c>
      <c r="Q10">
        <v>463</v>
      </c>
      <c r="R10">
        <v>2371</v>
      </c>
      <c r="S10">
        <v>2377</v>
      </c>
      <c r="T10">
        <v>2381</v>
      </c>
      <c r="U10">
        <v>2383</v>
      </c>
      <c r="V10">
        <v>2389</v>
      </c>
      <c r="W10">
        <v>2393</v>
      </c>
    </row>
    <row r="11" spans="1:23">
      <c r="A11" t="s">
        <v>37</v>
      </c>
      <c r="B11">
        <f ca="1">MOD(PRODUCT(E6:E10),F13)</f>
        <v>3778</v>
      </c>
      <c r="F11">
        <v>1103515245</v>
      </c>
      <c r="G11">
        <v>10</v>
      </c>
      <c r="H11">
        <v>467</v>
      </c>
      <c r="I11">
        <v>479</v>
      </c>
      <c r="J11">
        <v>487</v>
      </c>
      <c r="K11">
        <v>491</v>
      </c>
      <c r="L11">
        <v>499</v>
      </c>
      <c r="M11">
        <v>503</v>
      </c>
      <c r="N11">
        <v>509</v>
      </c>
      <c r="O11">
        <v>521</v>
      </c>
      <c r="P11">
        <v>523</v>
      </c>
      <c r="Q11">
        <v>541</v>
      </c>
      <c r="R11">
        <v>2437</v>
      </c>
      <c r="S11">
        <v>2441</v>
      </c>
      <c r="T11">
        <v>2447</v>
      </c>
      <c r="U11">
        <v>2459</v>
      </c>
      <c r="V11">
        <v>2467</v>
      </c>
      <c r="W11">
        <v>2473</v>
      </c>
    </row>
    <row r="12" spans="1:23">
      <c r="A12" t="s">
        <v>38</v>
      </c>
      <c r="B12">
        <f ca="1">MOD(B11*F11+F12,F13)</f>
        <v>5331</v>
      </c>
      <c r="C12">
        <f ca="1">MOD(B12,2)</f>
        <v>1</v>
      </c>
      <c r="D12">
        <f ca="1">B12/F$13</f>
        <v>0.162689208984375</v>
      </c>
      <c r="E12">
        <f ca="1">IF(D12&lt;0.25,0,IF(D12&lt;0.5,1,IF(D12&lt;0.75,3,4)))</f>
        <v>0</v>
      </c>
      <c r="F12">
        <v>12345</v>
      </c>
      <c r="G12">
        <v>11</v>
      </c>
      <c r="H12">
        <v>547</v>
      </c>
      <c r="I12">
        <v>557</v>
      </c>
      <c r="J12">
        <v>563</v>
      </c>
      <c r="K12">
        <v>569</v>
      </c>
      <c r="L12">
        <v>571</v>
      </c>
      <c r="M12">
        <v>577</v>
      </c>
      <c r="N12">
        <v>587</v>
      </c>
      <c r="O12">
        <v>593</v>
      </c>
      <c r="P12">
        <v>599</v>
      </c>
      <c r="Q12">
        <v>601</v>
      </c>
      <c r="R12">
        <v>2539</v>
      </c>
      <c r="S12">
        <v>2543</v>
      </c>
      <c r="T12">
        <v>2549</v>
      </c>
      <c r="U12">
        <v>2551</v>
      </c>
      <c r="V12">
        <v>2557</v>
      </c>
      <c r="W12">
        <v>2579</v>
      </c>
    </row>
    <row r="13" spans="1:23">
      <c r="A13" t="s">
        <v>39</v>
      </c>
      <c r="B13" s="13">
        <f t="shared" ref="B13:B33" ca="1" si="3">MOD(B12*F$11+F$12,F$13)</f>
        <v>22544</v>
      </c>
      <c r="C13">
        <f t="shared" ref="C13:C33" ca="1" si="4">IF(D13&lt;0.5,0,1)</f>
        <v>1</v>
      </c>
      <c r="D13">
        <f t="shared" ref="D13:D33" ca="1" si="5">B13/F$13</f>
        <v>0.68798828125</v>
      </c>
      <c r="E13">
        <f t="shared" ref="E13:E33" ca="1" si="6">IF(D13&lt;0.25,0,IF(D13&lt;0.5,1,IF(D13&lt;0.75,3,4)))</f>
        <v>3</v>
      </c>
      <c r="F13">
        <v>32768</v>
      </c>
      <c r="G13">
        <v>12</v>
      </c>
      <c r="H13">
        <v>607</v>
      </c>
      <c r="I13">
        <v>613</v>
      </c>
      <c r="J13">
        <v>617</v>
      </c>
      <c r="K13">
        <v>619</v>
      </c>
      <c r="L13">
        <v>631</v>
      </c>
      <c r="M13">
        <v>641</v>
      </c>
      <c r="N13">
        <v>643</v>
      </c>
      <c r="O13">
        <v>647</v>
      </c>
      <c r="P13">
        <v>653</v>
      </c>
      <c r="Q13">
        <v>659</v>
      </c>
      <c r="R13">
        <v>2621</v>
      </c>
      <c r="S13">
        <v>2633</v>
      </c>
      <c r="T13">
        <v>2647</v>
      </c>
      <c r="U13">
        <v>2657</v>
      </c>
      <c r="V13">
        <v>2659</v>
      </c>
      <c r="W13">
        <v>2663</v>
      </c>
    </row>
    <row r="14" spans="1:23">
      <c r="A14" t="s">
        <v>40</v>
      </c>
      <c r="B14" s="13">
        <f t="shared" ca="1" si="3"/>
        <v>3849</v>
      </c>
      <c r="C14">
        <f t="shared" ca="1" si="4"/>
        <v>0</v>
      </c>
      <c r="D14">
        <f t="shared" ca="1" si="5"/>
        <v>0.117462158203125</v>
      </c>
      <c r="E14">
        <f t="shared" ca="1" si="6"/>
        <v>0</v>
      </c>
      <c r="G14">
        <v>13</v>
      </c>
      <c r="H14">
        <v>661</v>
      </c>
      <c r="I14">
        <v>673</v>
      </c>
      <c r="J14">
        <v>677</v>
      </c>
      <c r="K14">
        <v>683</v>
      </c>
      <c r="L14">
        <v>691</v>
      </c>
      <c r="M14">
        <v>701</v>
      </c>
      <c r="N14">
        <v>709</v>
      </c>
      <c r="O14">
        <v>719</v>
      </c>
      <c r="P14">
        <v>727</v>
      </c>
      <c r="Q14">
        <v>733</v>
      </c>
      <c r="R14">
        <v>2689</v>
      </c>
      <c r="S14">
        <v>2693</v>
      </c>
      <c r="T14">
        <v>2699</v>
      </c>
      <c r="U14">
        <v>2707</v>
      </c>
      <c r="V14">
        <v>2711</v>
      </c>
      <c r="W14">
        <v>2713</v>
      </c>
    </row>
    <row r="15" spans="1:23">
      <c r="A15" t="s">
        <v>41</v>
      </c>
      <c r="B15" s="13">
        <f t="shared" ca="1" si="3"/>
        <v>21774</v>
      </c>
      <c r="C15">
        <f t="shared" ca="1" si="4"/>
        <v>1</v>
      </c>
      <c r="D15">
        <f t="shared" ca="1" si="5"/>
        <v>0.66448974609375</v>
      </c>
      <c r="E15">
        <f t="shared" ca="1" si="6"/>
        <v>3</v>
      </c>
      <c r="G15">
        <v>14</v>
      </c>
      <c r="H15">
        <v>739</v>
      </c>
      <c r="I15">
        <v>743</v>
      </c>
      <c r="J15">
        <v>751</v>
      </c>
      <c r="K15">
        <v>757</v>
      </c>
      <c r="L15">
        <v>761</v>
      </c>
      <c r="M15">
        <v>769</v>
      </c>
      <c r="N15">
        <v>773</v>
      </c>
      <c r="O15">
        <v>787</v>
      </c>
      <c r="P15">
        <v>797</v>
      </c>
      <c r="Q15">
        <v>809</v>
      </c>
      <c r="R15">
        <v>2749</v>
      </c>
      <c r="S15">
        <v>2753</v>
      </c>
      <c r="T15">
        <v>2767</v>
      </c>
      <c r="U15">
        <v>2777</v>
      </c>
      <c r="V15">
        <v>2789</v>
      </c>
      <c r="W15">
        <v>2791</v>
      </c>
    </row>
    <row r="16" spans="1:23">
      <c r="A16" t="s">
        <v>42</v>
      </c>
      <c r="B16" s="13">
        <f t="shared" ca="1" si="3"/>
        <v>11055</v>
      </c>
      <c r="C16">
        <f t="shared" ca="1" si="4"/>
        <v>0</v>
      </c>
      <c r="D16">
        <f t="shared" ca="1" si="5"/>
        <v>0.337371826171875</v>
      </c>
      <c r="E16">
        <f t="shared" ca="1" si="6"/>
        <v>1</v>
      </c>
      <c r="G16">
        <v>15</v>
      </c>
      <c r="H16">
        <v>811</v>
      </c>
      <c r="I16">
        <v>821</v>
      </c>
      <c r="J16">
        <v>823</v>
      </c>
      <c r="K16">
        <v>827</v>
      </c>
      <c r="L16">
        <v>829</v>
      </c>
      <c r="M16">
        <v>839</v>
      </c>
      <c r="N16">
        <v>853</v>
      </c>
      <c r="O16">
        <v>857</v>
      </c>
      <c r="P16">
        <v>859</v>
      </c>
      <c r="Q16">
        <v>863</v>
      </c>
      <c r="R16">
        <v>2833</v>
      </c>
      <c r="S16">
        <v>2837</v>
      </c>
      <c r="T16">
        <v>2843</v>
      </c>
      <c r="U16">
        <v>2851</v>
      </c>
      <c r="V16">
        <v>2857</v>
      </c>
      <c r="W16">
        <v>2861</v>
      </c>
    </row>
    <row r="17" spans="1:23">
      <c r="A17" t="s">
        <v>43</v>
      </c>
      <c r="B17" s="13">
        <f t="shared" ca="1" si="3"/>
        <v>25916</v>
      </c>
      <c r="C17">
        <f t="shared" ca="1" si="4"/>
        <v>1</v>
      </c>
      <c r="D17">
        <f t="shared" ca="1" si="5"/>
        <v>0.7908935546875</v>
      </c>
      <c r="E17">
        <f t="shared" ca="1" si="6"/>
        <v>4</v>
      </c>
      <c r="G17">
        <v>16</v>
      </c>
      <c r="H17">
        <v>877</v>
      </c>
      <c r="I17">
        <v>881</v>
      </c>
      <c r="J17">
        <v>883</v>
      </c>
      <c r="K17">
        <v>887</v>
      </c>
      <c r="L17">
        <v>907</v>
      </c>
      <c r="M17">
        <v>911</v>
      </c>
      <c r="N17">
        <v>919</v>
      </c>
      <c r="O17">
        <v>929</v>
      </c>
      <c r="P17">
        <v>937</v>
      </c>
      <c r="Q17">
        <v>941</v>
      </c>
      <c r="R17">
        <v>2909</v>
      </c>
      <c r="S17">
        <v>2917</v>
      </c>
      <c r="T17">
        <v>2927</v>
      </c>
      <c r="U17">
        <v>2939</v>
      </c>
      <c r="V17">
        <v>2953</v>
      </c>
      <c r="W17">
        <v>2957</v>
      </c>
    </row>
    <row r="18" spans="1:23">
      <c r="A18" t="s">
        <v>44</v>
      </c>
      <c r="B18" s="13">
        <f t="shared" ca="1" si="3"/>
        <v>4805</v>
      </c>
      <c r="C18">
        <f t="shared" ca="1" si="4"/>
        <v>0</v>
      </c>
      <c r="D18">
        <f t="shared" ca="1" si="5"/>
        <v>0.146636962890625</v>
      </c>
      <c r="E18">
        <f t="shared" ca="1" si="6"/>
        <v>0</v>
      </c>
    </row>
    <row r="19" spans="1:23">
      <c r="A19" t="s">
        <v>45</v>
      </c>
      <c r="B19" s="13">
        <f t="shared" ca="1" si="3"/>
        <v>13338</v>
      </c>
      <c r="C19">
        <f t="shared" ca="1" si="4"/>
        <v>0</v>
      </c>
      <c r="D19">
        <f t="shared" ca="1" si="5"/>
        <v>0.40704345703125</v>
      </c>
      <c r="E19">
        <f t="shared" ca="1" si="6"/>
        <v>1</v>
      </c>
    </row>
    <row r="20" spans="1:23">
      <c r="A20" t="s">
        <v>46</v>
      </c>
      <c r="B20" s="13">
        <f t="shared" ca="1" si="3"/>
        <v>19275</v>
      </c>
      <c r="C20">
        <f t="shared" ca="1" si="4"/>
        <v>1</v>
      </c>
      <c r="D20">
        <f t="shared" ca="1" si="5"/>
        <v>0.588226318359375</v>
      </c>
      <c r="E20">
        <f t="shared" ca="1" si="6"/>
        <v>3</v>
      </c>
    </row>
    <row r="21" spans="1:23">
      <c r="A21" t="s">
        <v>47</v>
      </c>
      <c r="B21" s="13">
        <f t="shared" ca="1" si="3"/>
        <v>6440</v>
      </c>
      <c r="C21">
        <f t="shared" ca="1" si="4"/>
        <v>0</v>
      </c>
      <c r="D21">
        <f t="shared" ca="1" si="5"/>
        <v>0.196533203125</v>
      </c>
      <c r="E21">
        <f t="shared" ca="1" si="6"/>
        <v>0</v>
      </c>
    </row>
    <row r="22" spans="1:23">
      <c r="A22" t="s">
        <v>48</v>
      </c>
      <c r="B22" s="13">
        <f t="shared" ca="1" si="3"/>
        <v>5697</v>
      </c>
      <c r="C22">
        <f t="shared" ca="1" si="4"/>
        <v>0</v>
      </c>
      <c r="D22">
        <f t="shared" ca="1" si="5"/>
        <v>0.173858642578125</v>
      </c>
      <c r="E22">
        <f t="shared" ca="1" si="6"/>
        <v>0</v>
      </c>
      <c r="M22" s="13"/>
    </row>
    <row r="23" spans="1:23">
      <c r="A23" t="s">
        <v>49</v>
      </c>
      <c r="B23" s="13">
        <f t="shared" ca="1" si="3"/>
        <v>30694</v>
      </c>
      <c r="C23">
        <f t="shared" ca="1" si="4"/>
        <v>1</v>
      </c>
      <c r="D23">
        <f t="shared" ca="1" si="5"/>
        <v>0.93670654296875</v>
      </c>
      <c r="E23">
        <f t="shared" ca="1" si="6"/>
        <v>4</v>
      </c>
      <c r="M23" s="13"/>
    </row>
    <row r="24" spans="1:23">
      <c r="A24" t="s">
        <v>50</v>
      </c>
      <c r="B24" s="13">
        <f t="shared" ca="1" si="3"/>
        <v>20775</v>
      </c>
      <c r="C24">
        <f t="shared" ca="1" si="4"/>
        <v>1</v>
      </c>
      <c r="D24">
        <f t="shared" ca="1" si="5"/>
        <v>0.634002685546875</v>
      </c>
      <c r="E24">
        <f t="shared" ca="1" si="6"/>
        <v>3</v>
      </c>
      <c r="M24" s="13"/>
    </row>
    <row r="25" spans="1:23">
      <c r="A25" t="s">
        <v>51</v>
      </c>
      <c r="B25" s="13">
        <f t="shared" ca="1" si="3"/>
        <v>8148</v>
      </c>
      <c r="C25">
        <f t="shared" ca="1" si="4"/>
        <v>0</v>
      </c>
      <c r="D25">
        <f t="shared" ca="1" si="5"/>
        <v>0.2486572265625</v>
      </c>
      <c r="E25">
        <f t="shared" ca="1" si="6"/>
        <v>0</v>
      </c>
      <c r="M25" s="13"/>
    </row>
    <row r="26" spans="1:23">
      <c r="A26" t="s">
        <v>52</v>
      </c>
      <c r="B26" s="13">
        <f t="shared" ca="1" si="3"/>
        <v>21885</v>
      </c>
      <c r="C26">
        <f t="shared" ca="1" si="4"/>
        <v>1</v>
      </c>
      <c r="D26">
        <f t="shared" ca="1" si="5"/>
        <v>0.667877197265625</v>
      </c>
      <c r="E26">
        <f t="shared" ca="1" si="6"/>
        <v>3</v>
      </c>
      <c r="M26" s="13"/>
    </row>
    <row r="27" spans="1:23">
      <c r="A27" t="s">
        <v>53</v>
      </c>
      <c r="B27" s="13">
        <f t="shared" ca="1" si="3"/>
        <v>11378</v>
      </c>
      <c r="C27">
        <f t="shared" ca="1" si="4"/>
        <v>0</v>
      </c>
      <c r="D27">
        <f t="shared" ca="1" si="5"/>
        <v>0.34722900390625</v>
      </c>
      <c r="E27">
        <f t="shared" ca="1" si="6"/>
        <v>1</v>
      </c>
      <c r="M27" s="13"/>
    </row>
    <row r="28" spans="1:23">
      <c r="A28" t="s">
        <v>54</v>
      </c>
      <c r="B28" s="13">
        <f t="shared" ca="1" si="3"/>
        <v>22723</v>
      </c>
      <c r="C28">
        <f t="shared" ca="1" si="4"/>
        <v>1</v>
      </c>
      <c r="D28">
        <f t="shared" ca="1" si="5"/>
        <v>0.693450927734375</v>
      </c>
      <c r="E28">
        <f t="shared" ca="1" si="6"/>
        <v>3</v>
      </c>
      <c r="M28" s="13"/>
    </row>
    <row r="29" spans="1:23">
      <c r="A29" t="s">
        <v>55</v>
      </c>
      <c r="B29" s="13">
        <f t="shared" ca="1" si="3"/>
        <v>25920</v>
      </c>
      <c r="C29">
        <f t="shared" ca="1" si="4"/>
        <v>1</v>
      </c>
      <c r="D29">
        <f t="shared" ca="1" si="5"/>
        <v>0.791015625</v>
      </c>
      <c r="E29">
        <f t="shared" ca="1" si="6"/>
        <v>4</v>
      </c>
      <c r="M29" s="13"/>
    </row>
    <row r="30" spans="1:23">
      <c r="A30" t="s">
        <v>56</v>
      </c>
      <c r="B30" s="13">
        <f t="shared" ca="1" si="3"/>
        <v>19577</v>
      </c>
      <c r="C30">
        <f t="shared" ca="1" si="4"/>
        <v>1</v>
      </c>
      <c r="D30">
        <f t="shared" ca="1" si="5"/>
        <v>0.597442626953125</v>
      </c>
      <c r="E30">
        <f t="shared" ca="1" si="6"/>
        <v>3</v>
      </c>
      <c r="M30" s="13"/>
    </row>
    <row r="31" spans="1:23">
      <c r="A31" t="s">
        <v>57</v>
      </c>
      <c r="B31" s="13">
        <f t="shared" ca="1" si="3"/>
        <v>7614</v>
      </c>
      <c r="C31">
        <f t="shared" ca="1" si="4"/>
        <v>0</v>
      </c>
      <c r="D31">
        <f t="shared" ca="1" si="5"/>
        <v>0.23236083984375</v>
      </c>
      <c r="E31">
        <f t="shared" ca="1" si="6"/>
        <v>0</v>
      </c>
      <c r="M31" s="13"/>
    </row>
    <row r="32" spans="1:23">
      <c r="A32" t="s">
        <v>58</v>
      </c>
      <c r="B32" s="13">
        <f t="shared" ca="1" si="3"/>
        <v>15903</v>
      </c>
      <c r="C32">
        <f t="shared" ca="1" si="4"/>
        <v>0</v>
      </c>
      <c r="D32">
        <f t="shared" ca="1" si="5"/>
        <v>0.485321044921875</v>
      </c>
      <c r="E32">
        <f t="shared" ca="1" si="6"/>
        <v>1</v>
      </c>
      <c r="M32" s="13"/>
    </row>
    <row r="33" spans="1:13">
      <c r="A33" t="s">
        <v>59</v>
      </c>
      <c r="B33" s="13">
        <f t="shared" ca="1" si="3"/>
        <v>5484</v>
      </c>
      <c r="C33">
        <f t="shared" ca="1" si="4"/>
        <v>0</v>
      </c>
      <c r="D33">
        <f t="shared" ca="1" si="5"/>
        <v>0.1673583984375</v>
      </c>
      <c r="E33">
        <f t="shared" ca="1" si="6"/>
        <v>0</v>
      </c>
      <c r="M33" s="13"/>
    </row>
  </sheetData>
  <customSheetViews>
    <customSheetView guid="{1E6EB3EC-58F4-42D5-9462-6EAD6EC3491E}" state="hidden" topLeftCell="A10">
      <selection activeCell="B6" sqref="B6:B10"/>
      <pageMargins left="0" right="0" top="0" bottom="0" header="0" footer="0"/>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6A5B-4015-4513-BD86-66A981B08642}">
  <dimension ref="C5:H10"/>
  <sheetViews>
    <sheetView workbookViewId="0">
      <selection activeCell="C5" sqref="C5:H10"/>
    </sheetView>
  </sheetViews>
  <sheetFormatPr defaultRowHeight="14.4"/>
  <sheetData>
    <row r="5" spans="3:8">
      <c r="C5" s="102" t="s">
        <v>60</v>
      </c>
      <c r="D5" s="102"/>
      <c r="E5" s="102"/>
      <c r="F5" s="102"/>
      <c r="G5" s="102"/>
      <c r="H5" s="102"/>
    </row>
    <row r="6" spans="3:8">
      <c r="C6" s="102"/>
      <c r="D6" s="102"/>
      <c r="E6" s="102"/>
      <c r="F6" s="102"/>
      <c r="G6" s="102"/>
      <c r="H6" s="102"/>
    </row>
    <row r="7" spans="3:8">
      <c r="C7" s="102"/>
      <c r="D7" s="102"/>
      <c r="E7" s="102"/>
      <c r="F7" s="102"/>
      <c r="G7" s="102"/>
      <c r="H7" s="102"/>
    </row>
    <row r="8" spans="3:8">
      <c r="C8" s="102"/>
      <c r="D8" s="102"/>
      <c r="E8" s="102"/>
      <c r="F8" s="102"/>
      <c r="G8" s="102"/>
      <c r="H8" s="102"/>
    </row>
    <row r="9" spans="3:8">
      <c r="C9" s="102"/>
      <c r="D9" s="102"/>
      <c r="E9" s="102"/>
      <c r="F9" s="102"/>
      <c r="G9" s="102"/>
      <c r="H9" s="102"/>
    </row>
    <row r="10" spans="3:8">
      <c r="C10" s="102"/>
      <c r="D10" s="102"/>
      <c r="E10" s="102"/>
      <c r="F10" s="102"/>
      <c r="G10" s="102"/>
      <c r="H10" s="102"/>
    </row>
  </sheetData>
  <mergeCells count="1">
    <mergeCell ref="C5:H1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4b388b19620a428294a52af29a503226">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f4390916c591314b5f0446846c34d485"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13C9D7-E17F-4BAF-838C-91D0DFFDABBA}">
  <ds:schemaRefs>
    <ds:schemaRef ds:uri="http://schemas.microsoft.com/sharepoint/v3/contenttype/forms"/>
  </ds:schemaRefs>
</ds:datastoreItem>
</file>

<file path=customXml/itemProps2.xml><?xml version="1.0" encoding="utf-8"?>
<ds:datastoreItem xmlns:ds="http://schemas.openxmlformats.org/officeDocument/2006/customXml" ds:itemID="{D0E80B1D-96A4-4992-BFF6-627A80CEBB1D}"/>
</file>

<file path=customXml/itemProps3.xml><?xml version="1.0" encoding="utf-8"?>
<ds:datastoreItem xmlns:ds="http://schemas.openxmlformats.org/officeDocument/2006/customXml" ds:itemID="{AA4AD473-4FA9-46C1-A1D3-2EA805B81A69}">
  <ds:schemaRefs>
    <ds:schemaRef ds:uri="http://schemas.microsoft.com/office/2006/metadata/properties"/>
    <ds:schemaRef ds:uri="http://schemas.microsoft.com/office/infopath/2007/PartnerControls"/>
    <ds:schemaRef ds:uri="cca9fd2d-ef84-45c9-8063-8f4bd4c296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Goals and Instructions</vt:lpstr>
      <vt:lpstr>Linear Fit</vt:lpstr>
      <vt:lpstr>GradeShhet</vt:lpstr>
      <vt:lpstr>Random</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2020-09-27T23:08:00Z</dcterms:created>
  <dcterms:modified xsi:type="dcterms:W3CDTF">2023-10-20T20:33:25Z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0x0101002C289946819CFF499E91D197BC975371</vt:lpwstr>
  </property>
  <property fmtid="{D5CDD505-2E9C-101B-9397-08002B2CF9AE}" pid="3" name="MediaServiceImageTags">
    <vt:lpwstr/>
  </property>
</Properties>
</file>