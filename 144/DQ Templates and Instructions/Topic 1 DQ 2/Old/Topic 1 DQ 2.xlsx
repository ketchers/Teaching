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1 DQ 2/Old/"/>
    </mc:Choice>
  </mc:AlternateContent>
  <xr:revisionPtr revIDLastSave="810" documentId="8_{D11B14D4-5EE4-42DF-A78C-D214F54950D8}" xr6:coauthVersionLast="47" xr6:coauthVersionMax="47" xr10:uidLastSave="{1B929999-358C-4DB5-833F-DD15BAB0A122}"/>
  <bookViews>
    <workbookView xWindow="-110" yWindow="10690" windowWidth="19420" windowHeight="10560" xr2:uid="{4FCF7FA6-22BB-4545-AB27-D5B8AACA448D}"/>
  </bookViews>
  <sheets>
    <sheet name="Goals and Instructions" sheetId="5" r:id="rId1"/>
    <sheet name="Linear" sheetId="1" r:id="rId2"/>
    <sheet name="GradeSheet" sheetId="7" state="hidden" r:id="rId3"/>
    <sheet name="Sheet3" sheetId="6" state="hidden" r:id="rId4"/>
    <sheet name="Random" sheetId="4" state="hidden" r:id="rId5"/>
    <sheet name="Sheet2" sheetId="3"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7" l="1"/>
  <c r="B20" i="7"/>
  <c r="C17" i="7"/>
  <c r="B17" i="7"/>
  <c r="B7" i="4"/>
  <c r="B8" i="4"/>
  <c r="B9" i="4"/>
  <c r="B10" i="4"/>
  <c r="B6" i="4"/>
  <c r="L15" i="7"/>
  <c r="M15" i="7"/>
  <c r="K15" i="7"/>
  <c r="J15" i="7"/>
  <c r="I15" i="7"/>
  <c r="H15" i="7" l="1"/>
  <c r="H31" i="7"/>
  <c r="H25" i="7"/>
  <c r="H27" i="7"/>
  <c r="H30" i="7"/>
  <c r="H16" i="7"/>
  <c r="H32" i="7"/>
  <c r="H17" i="7"/>
  <c r="H33" i="7"/>
  <c r="H34" i="7"/>
  <c r="H35" i="7"/>
  <c r="H20" i="7"/>
  <c r="H22" i="7"/>
  <c r="H24" i="7"/>
  <c r="H26" i="7"/>
  <c r="H29" i="7"/>
  <c r="H18" i="7"/>
  <c r="H28" i="7"/>
  <c r="H19" i="7"/>
  <c r="H21" i="7"/>
  <c r="H23" i="7"/>
  <c r="N15" i="7"/>
  <c r="C23" i="7"/>
  <c r="C9" i="4"/>
  <c r="C6" i="4"/>
  <c r="D6" i="4" s="1"/>
  <c r="C10" i="4"/>
  <c r="C7" i="4"/>
  <c r="C8" i="4"/>
  <c r="D8" i="4" s="1"/>
  <c r="O15" i="7" l="1"/>
  <c r="D7" i="4"/>
  <c r="D10" i="4"/>
  <c r="D9" i="4"/>
  <c r="E9" i="4"/>
  <c r="E8" i="4"/>
  <c r="E10" i="4"/>
  <c r="E6" i="4"/>
  <c r="E7" i="4"/>
  <c r="B11" i="4" l="1"/>
  <c r="B12" i="4" s="1"/>
  <c r="B13" i="4" l="1"/>
  <c r="D12" i="4"/>
  <c r="E12" i="4" s="1"/>
  <c r="C12" i="4"/>
  <c r="D13" i="4" l="1"/>
  <c r="B14" i="4"/>
  <c r="E13" i="4" l="1"/>
  <c r="C13" i="4"/>
  <c r="B15" i="4"/>
  <c r="D14" i="4"/>
  <c r="E14" i="4" l="1"/>
  <c r="C14" i="4"/>
  <c r="B16" i="4"/>
  <c r="D15" i="4"/>
  <c r="E15" i="4" l="1"/>
  <c r="C15" i="4"/>
  <c r="B17" i="4"/>
  <c r="D16" i="4"/>
  <c r="C16" i="4" l="1"/>
  <c r="K21" i="4" s="1"/>
  <c r="E16" i="4"/>
  <c r="I24" i="4" s="1"/>
  <c r="D17" i="4"/>
  <c r="B18" i="4"/>
  <c r="I25" i="4" l="1"/>
  <c r="B19" i="4"/>
  <c r="D18" i="4"/>
  <c r="E17" i="4"/>
  <c r="H19" i="4" s="1"/>
  <c r="C17" i="4"/>
  <c r="E18" i="4" l="1"/>
  <c r="C18" i="4"/>
  <c r="H21" i="4" s="1"/>
  <c r="J19" i="4" s="1"/>
  <c r="B20" i="4"/>
  <c r="D19" i="4"/>
  <c r="C19" i="4" l="1"/>
  <c r="H22" i="4" s="1"/>
  <c r="E19" i="4"/>
  <c r="H20" i="4" s="1"/>
  <c r="D20" i="4"/>
  <c r="B21" i="4"/>
  <c r="J20" i="4" l="1"/>
  <c r="I19" i="4"/>
  <c r="D21" i="4"/>
  <c r="B22" i="4"/>
  <c r="E20" i="4"/>
  <c r="C20" i="4"/>
  <c r="H23" i="4" s="1"/>
  <c r="J21" i="4" s="1"/>
  <c r="J24" i="4" l="1"/>
  <c r="E21" i="4"/>
  <c r="C21" i="4"/>
  <c r="B23" i="4"/>
  <c r="D22" i="4"/>
  <c r="M24" i="4" l="1"/>
  <c r="N25" i="4" s="1"/>
  <c r="K24" i="4"/>
  <c r="E22" i="4"/>
  <c r="C22" i="4"/>
  <c r="B24" i="4"/>
  <c r="D23" i="4"/>
  <c r="O25" i="4" l="1"/>
  <c r="M25" i="4"/>
  <c r="C23" i="4"/>
  <c r="E23" i="4"/>
  <c r="B25" i="4"/>
  <c r="D24" i="4"/>
  <c r="C24" i="7" l="1"/>
  <c r="F15" i="7" s="1" a="1"/>
  <c r="F15" i="7" s="1"/>
  <c r="C24" i="4"/>
  <c r="E24" i="4"/>
  <c r="D25" i="4"/>
  <c r="B26" i="4"/>
  <c r="E25" i="4" l="1"/>
  <c r="C25" i="4"/>
  <c r="B27" i="4"/>
  <c r="D26" i="4"/>
  <c r="E26" i="4" l="1"/>
  <c r="C26" i="4"/>
  <c r="B28" i="4"/>
  <c r="D27" i="4"/>
  <c r="D28" i="4" l="1"/>
  <c r="B29" i="4"/>
  <c r="E27" i="4"/>
  <c r="C27" i="4"/>
  <c r="E28" i="4" l="1"/>
  <c r="C28" i="4"/>
  <c r="D29" i="4"/>
  <c r="B30" i="4"/>
  <c r="E29" i="4" l="1"/>
  <c r="C29" i="4"/>
  <c r="B31" i="4"/>
  <c r="D30" i="4"/>
  <c r="B32" i="4" l="1"/>
  <c r="D31" i="4"/>
  <c r="E30" i="4"/>
  <c r="C30" i="4"/>
  <c r="B33" i="4" l="1"/>
  <c r="D32" i="4"/>
  <c r="E31" i="4"/>
  <c r="C31" i="4"/>
  <c r="D33" i="4" l="1"/>
  <c r="B34" i="4"/>
  <c r="E32" i="4"/>
  <c r="C32" i="4"/>
  <c r="C33" i="4" l="1"/>
  <c r="E33" i="4"/>
  <c r="D34" i="4"/>
  <c r="B35" i="4"/>
  <c r="C34" i="4" l="1"/>
  <c r="E34" i="4"/>
  <c r="D35" i="4"/>
  <c r="B36" i="4"/>
  <c r="E35" i="4" l="1"/>
  <c r="C35" i="4"/>
  <c r="D36" i="4"/>
  <c r="B37" i="4"/>
  <c r="D37" i="4" l="1"/>
  <c r="B38" i="4"/>
  <c r="C36" i="4"/>
  <c r="E36" i="4"/>
  <c r="E37" i="4" l="1"/>
  <c r="C37" i="4"/>
  <c r="D38" i="4"/>
  <c r="B39" i="4"/>
  <c r="D39" i="4" l="1"/>
  <c r="B40" i="4"/>
  <c r="C38" i="4"/>
  <c r="E38" i="4"/>
  <c r="C39" i="4" l="1"/>
  <c r="E39" i="4"/>
  <c r="B41" i="4"/>
  <c r="D40" i="4"/>
  <c r="D41" i="4" l="1"/>
  <c r="B42" i="4"/>
  <c r="C40" i="4"/>
  <c r="E40" i="4"/>
  <c r="C41" i="4" l="1"/>
  <c r="E41" i="4"/>
  <c r="B43" i="4"/>
  <c r="D42" i="4"/>
  <c r="C42" i="4" l="1"/>
  <c r="E42" i="4"/>
  <c r="D43" i="4"/>
  <c r="B44" i="4"/>
  <c r="D44" i="4" l="1"/>
  <c r="B45" i="4"/>
  <c r="C43" i="4"/>
  <c r="E43" i="4"/>
  <c r="D45" i="4" l="1"/>
  <c r="B46" i="4"/>
  <c r="C44" i="4"/>
  <c r="E44" i="4"/>
  <c r="E45" i="4" l="1"/>
  <c r="C45" i="4"/>
  <c r="D46" i="4"/>
  <c r="B47" i="4"/>
  <c r="D47" i="4" l="1"/>
  <c r="B48" i="4"/>
  <c r="C46" i="4"/>
  <c r="E46" i="4"/>
  <c r="C47" i="4" l="1"/>
  <c r="E47" i="4"/>
  <c r="B49" i="4"/>
  <c r="D48" i="4"/>
  <c r="E48" i="4" l="1"/>
  <c r="C48" i="4"/>
  <c r="D49" i="4"/>
  <c r="B50" i="4"/>
  <c r="C49" i="4" l="1"/>
  <c r="E49" i="4"/>
  <c r="B51" i="4"/>
  <c r="D50" i="4"/>
  <c r="D51" i="4" l="1"/>
  <c r="B52" i="4"/>
  <c r="C50" i="4"/>
  <c r="E50" i="4"/>
  <c r="D52" i="4" l="1"/>
  <c r="B53" i="4"/>
  <c r="C51" i="4"/>
  <c r="E51" i="4"/>
  <c r="D53" i="4" l="1"/>
  <c r="B54" i="4"/>
  <c r="C52" i="4"/>
  <c r="E52" i="4"/>
  <c r="E53" i="4" l="1"/>
  <c r="C53" i="4"/>
  <c r="B55" i="4"/>
  <c r="D55" i="4" s="1"/>
  <c r="D54" i="4"/>
  <c r="C54" i="4" l="1"/>
  <c r="E54" i="4"/>
  <c r="C55" i="4"/>
  <c r="E55" i="4"/>
  <c r="M26" i="4"/>
  <c r="J25" i="4" s="1"/>
  <c r="K25" i="4" s="1"/>
  <c r="B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<sst xmlns="http://schemas.openxmlformats.org/spreadsheetml/2006/main" count="109" uniqueCount="96">
  <si>
    <t>Excel Skills Learned</t>
  </si>
  <si>
    <r>
      <rPr>
        <b/>
        <sz val="11"/>
        <color theme="1"/>
        <rFont val="Calibri"/>
        <family val="2"/>
        <scheme val="minor"/>
      </rPr>
      <t>Instructions</t>
    </r>
    <r>
      <rPr>
        <sz val="11"/>
        <color theme="1"/>
        <rFont val="Calibri"/>
        <family val="2"/>
        <scheme val="minor"/>
      </rPr>
      <t>: Open the tab labeled "Linear" and complete the tasks indicated there. Start by entering your name where indicated. Pay attention to the legend and note that the sheet is self-checking.</t>
    </r>
  </si>
  <si>
    <t>Upon completing the sheet, you should have an understanding of:</t>
  </si>
  <si>
    <t>1. Several ways to fill out a series of numbers.</t>
  </si>
  <si>
    <t>2. Using absolute references and autofill to save on work and avoid errors.</t>
  </si>
  <si>
    <t>3. Use Excel's new dynamic arrays to save on work and avoid errors.</t>
  </si>
  <si>
    <t>4. Inserting and decorating charts, or plots.</t>
  </si>
  <si>
    <t>Math Skills Learned</t>
  </si>
  <si>
    <t>1. How to make a graph (of a line) in Excel.</t>
  </si>
  <si>
    <t>2. How to visualize what happens when parameters change, here when slope and intercept change.</t>
  </si>
  <si>
    <t>1. Enter your name so that your problem generates.
2. Enter the slope and intercept for the line indicated in your problem.
3. Fill in the x values from -5 to 5 using steps of size 0.5. (See the video for a variety of ways to accomplish this.)
4. Fill out formulas for finding the slope and intercept for your line.
4. Fill out the formulas for the y values. It would be good to try the various ways discussed in the video for this, then you can choose what you like to use best.
5. Format all of your y values to show two decimal places, like 1.23 and 2.34, and all x values to show one decimal, like 1.0, and 1.5.
6. Add a graph (scatterplot with smooth lines). Set the chart title and add axis titles, you can just use "x" and "y" as labels.
7. Play with the slope (m) and intercept (b). All of the computed values and charts should change as you chang parameters.</t>
  </si>
  <si>
    <t xml:space="preserve">Video explaining this DQ </t>
  </si>
  <si>
    <t>Enter you name here ⇒</t>
  </si>
  <si>
    <t>Your Name Here!</t>
  </si>
  <si>
    <t>x</t>
  </si>
  <si>
    <t>y = mx + b</t>
  </si>
  <si>
    <t>Plot the graph y vs x as a scatterplot with smooth lines. Make sure that you set the title and add axis titles for x and y.</t>
  </si>
  <si>
    <t>Legend</t>
  </si>
  <si>
    <r>
      <t>First Point (x</t>
    </r>
    <r>
      <rPr>
        <vertAlign val="subscript"/>
        <sz val="11"/>
        <color theme="1"/>
        <rFont val="Calibri"/>
        <family val="2"/>
        <scheme val="minor"/>
      </rPr>
      <t>0</t>
    </r>
    <r>
      <rPr>
        <sz val="11"/>
        <color theme="1"/>
        <rFont val="Calibri"/>
        <family val="2"/>
        <scheme val="minor"/>
      </rPr>
      <t>, y</t>
    </r>
    <r>
      <rPr>
        <vertAlign val="subscript"/>
        <sz val="11"/>
        <color theme="1"/>
        <rFont val="Calibri"/>
        <family val="2"/>
        <scheme val="minor"/>
      </rPr>
      <t>0</t>
    </r>
    <r>
      <rPr>
        <sz val="11"/>
        <color theme="1"/>
        <rFont val="Calibri"/>
        <family val="2"/>
        <scheme val="minor"/>
      </rPr>
      <t>)</t>
    </r>
  </si>
  <si>
    <t>If a cell is shaded</t>
  </si>
  <si>
    <t>You should</t>
  </si>
  <si>
    <r>
      <t>x</t>
    </r>
    <r>
      <rPr>
        <vertAlign val="subscript"/>
        <sz val="11"/>
        <color theme="1"/>
        <rFont val="Calibri"/>
        <family val="2"/>
        <scheme val="minor"/>
      </rPr>
      <t>0</t>
    </r>
  </si>
  <si>
    <r>
      <t>y</t>
    </r>
    <r>
      <rPr>
        <vertAlign val="subscript"/>
        <sz val="11"/>
        <color theme="1"/>
        <rFont val="Calibri"/>
        <family val="2"/>
        <scheme val="minor"/>
      </rPr>
      <t>0</t>
    </r>
  </si>
  <si>
    <t>Blue</t>
  </si>
  <si>
    <t>Enter a text response</t>
  </si>
  <si>
    <t>Once you have made your plot and are satisfied with it, then play with the values for m and b and watch how the plot changes.</t>
  </si>
  <si>
    <t>Green</t>
  </si>
  <si>
    <t>Enter a number</t>
  </si>
  <si>
    <r>
      <t>Second Point (x</t>
    </r>
    <r>
      <rPr>
        <vertAlign val="subscript"/>
        <sz val="11"/>
        <color theme="1"/>
        <rFont val="Calibri"/>
        <family val="2"/>
        <scheme val="minor"/>
      </rPr>
      <t>1</t>
    </r>
    <r>
      <rPr>
        <sz val="11"/>
        <color theme="1"/>
        <rFont val="Calibri"/>
        <family val="2"/>
        <scheme val="minor"/>
      </rPr>
      <t>, y</t>
    </r>
    <r>
      <rPr>
        <vertAlign val="subscript"/>
        <sz val="11"/>
        <color theme="1"/>
        <rFont val="Calibri"/>
        <family val="2"/>
        <scheme val="minor"/>
      </rPr>
      <t>1</t>
    </r>
    <r>
      <rPr>
        <sz val="11"/>
        <color theme="1"/>
        <rFont val="Calibri"/>
        <family val="2"/>
        <scheme val="minor"/>
      </rPr>
      <t>)</t>
    </r>
  </si>
  <si>
    <t>Gold</t>
  </si>
  <si>
    <t>Enter an Excel formula</t>
  </si>
  <si>
    <r>
      <t>x</t>
    </r>
    <r>
      <rPr>
        <vertAlign val="subscript"/>
        <sz val="11"/>
        <color theme="1"/>
        <rFont val="Calibri"/>
        <family val="2"/>
        <scheme val="minor"/>
      </rPr>
      <t>1</t>
    </r>
  </si>
  <si>
    <r>
      <t>y</t>
    </r>
    <r>
      <rPr>
        <vertAlign val="subscript"/>
        <sz val="11"/>
        <color theme="1"/>
        <rFont val="Calibri"/>
        <family val="2"/>
        <scheme val="minor"/>
      </rPr>
      <t>1</t>
    </r>
  </si>
  <si>
    <t>Any other color</t>
  </si>
  <si>
    <t>Make no changes</t>
  </si>
  <si>
    <t>Plot goes here.</t>
  </si>
  <si>
    <t>y = mx + b = m*x + b</t>
  </si>
  <si>
    <t xml:space="preserve">m = slope = </t>
  </si>
  <si>
    <t xml:space="preserve">b = y-intercept = </t>
  </si>
  <si>
    <r>
      <t>Recall that with the slope (m) and a point (x</t>
    </r>
    <r>
      <rPr>
        <vertAlign val="subscript"/>
        <sz val="11"/>
        <color theme="1"/>
        <rFont val="Calibri"/>
        <family val="2"/>
        <scheme val="minor"/>
      </rPr>
      <t>0</t>
    </r>
    <r>
      <rPr>
        <sz val="11"/>
        <color theme="1"/>
        <rFont val="Calibri"/>
        <family val="2"/>
        <scheme val="minor"/>
      </rPr>
      <t>, y</t>
    </r>
    <r>
      <rPr>
        <vertAlign val="subscript"/>
        <sz val="11"/>
        <color theme="1"/>
        <rFont val="Calibri"/>
        <family val="2"/>
        <scheme val="minor"/>
      </rPr>
      <t>0</t>
    </r>
    <r>
      <rPr>
        <sz val="11"/>
        <color theme="1"/>
        <rFont val="Calibri"/>
        <family val="2"/>
        <scheme val="minor"/>
      </rPr>
      <t>), one way to find the intercept is to use the fact that y</t>
    </r>
    <r>
      <rPr>
        <vertAlign val="subscript"/>
        <sz val="11"/>
        <color theme="1"/>
        <rFont val="Calibri"/>
        <family val="2"/>
        <scheme val="minor"/>
      </rPr>
      <t>0</t>
    </r>
    <r>
      <rPr>
        <sz val="11"/>
        <color theme="1"/>
        <rFont val="Calibri"/>
        <family val="2"/>
        <scheme val="minor"/>
      </rPr>
      <t xml:space="preserve"> = mx</t>
    </r>
    <r>
      <rPr>
        <vertAlign val="subscript"/>
        <sz val="11"/>
        <color theme="1"/>
        <rFont val="Calibri"/>
        <family val="2"/>
        <scheme val="minor"/>
      </rPr>
      <t>0</t>
    </r>
    <r>
      <rPr>
        <sz val="11"/>
        <color theme="1"/>
        <rFont val="Calibri"/>
        <family val="2"/>
        <scheme val="minor"/>
      </rPr>
      <t xml:space="preserve"> + b so </t>
    </r>
    <r>
      <rPr>
        <b/>
        <sz val="11"/>
        <color theme="1"/>
        <rFont val="Calibri"/>
        <family val="2"/>
        <scheme val="minor"/>
      </rPr>
      <t>b = y</t>
    </r>
    <r>
      <rPr>
        <b/>
        <vertAlign val="subscript"/>
        <sz val="11"/>
        <color theme="1"/>
        <rFont val="Calibri"/>
        <family val="2"/>
        <scheme val="minor"/>
      </rPr>
      <t>0</t>
    </r>
    <r>
      <rPr>
        <b/>
        <sz val="11"/>
        <color theme="1"/>
        <rFont val="Calibri"/>
        <family val="2"/>
        <scheme val="minor"/>
      </rPr>
      <t xml:space="preserve"> - mx</t>
    </r>
    <r>
      <rPr>
        <b/>
        <vertAlign val="subscript"/>
        <sz val="11"/>
        <color theme="1"/>
        <rFont val="Calibri"/>
        <family val="2"/>
        <scheme val="minor"/>
      </rPr>
      <t>0</t>
    </r>
    <r>
      <rPr>
        <b/>
        <sz val="11"/>
        <color theme="1"/>
        <rFont val="Calibri"/>
        <family val="2"/>
        <scheme val="minor"/>
      </rPr>
      <t>.</t>
    </r>
  </si>
  <si>
    <t>Please download this sheet and open in Excel.</t>
  </si>
  <si>
    <t>Seed</t>
  </si>
  <si>
    <t>Rand1</t>
  </si>
  <si>
    <t>Rand2</t>
  </si>
  <si>
    <t>Rand3</t>
  </si>
  <si>
    <t>Rand4</t>
  </si>
  <si>
    <t>Rand5</t>
  </si>
  <si>
    <t>Rand6</t>
  </si>
  <si>
    <t>Rand7</t>
  </si>
  <si>
    <t>Rand8</t>
  </si>
  <si>
    <t>m</t>
  </si>
  <si>
    <t>Rand9</t>
  </si>
  <si>
    <t>b</t>
  </si>
  <si>
    <t>Rand10</t>
  </si>
  <si>
    <t>p1</t>
  </si>
  <si>
    <t>Rand11</t>
  </si>
  <si>
    <t>p2</t>
  </si>
  <si>
    <t>Rand12</t>
  </si>
  <si>
    <t>y</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</si>
  <si>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</si>
  <si>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</si>
  <si>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</si>
  <si>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</si>
  <si>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</si>
  <si>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</si>
  <si>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</si>
  <si>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</si>
  <si>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</si>
  <si>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</si>
  <si>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</si>
  <si>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</si>
  <si>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</si>
  <si>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</si>
  <si>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</si>
  <si>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</si>
  <si>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</si>
  <si>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</si>
  <si>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</si>
  <si>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</si>
  <si>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</si>
  <si>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</si>
  <si>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</si>
  <si>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</si>
  <si>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</si>
  <si>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</si>
  <si>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</si>
  <si>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</si>
  <si>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</si>
  <si>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</si>
  <si>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</si>
  <si>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</si>
  <si>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Download and open the sheet.</t>
  </si>
  <si>
    <t>p3</t>
  </si>
  <si>
    <t>At least 5 letters!</t>
  </si>
  <si>
    <t>Δ y =</t>
  </si>
  <si>
    <t>= Δ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</si>
</sst>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2"/>
      <color theme="1"/>
      <name val="Calibri"/>
      <family val="2"/>
      <scheme val="minor"/>
    </font>
    <font>
      <sz val="10"/>
      <color rgb="FF000000"/>
      <name val="Arial Unicode MS"/>
    </font>
    <font>
      <sz val="8"/>
      <name val="Calibri"/>
      <family val="2"/>
      <scheme val="minor"/>
    </font>
    <font>
      <b/>
      <sz val="12"/>
      <color theme="0" tint="-4.9989318521683403E-2"/>
      <name val="Brush Script MT"/>
      <family val="4"/>
    </font>
    <font>
      <b/>
      <sz val="16"/>
      <color theme="1"/>
      <name val="Calibri"/>
      <family val="2"/>
      <scheme val="minor"/>
    </font>
    <font>
      <vertAlign val="subscript"/>
      <sz val="11"/>
      <color theme="1"/>
      <name val="Calibri"/>
      <family val="2"/>
      <scheme val="minor"/>
    </font>
    <font>
      <u/>
      <sz val="11"/>
      <color theme="10"/>
      <name val="Calibri"/>
      <family val="2"/>
      <scheme val="minor"/>
    </font>
    <font>
      <b/>
      <vertAlign val="subscript"/>
      <sz val="11"/>
      <color theme="1"/>
      <name val="Calibri"/>
      <family val="2"/>
      <scheme val="minor"/>
    </font>
    <font>
      <b/>
      <u/>
      <sz val="12"/>
      <color theme="10"/>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60">
    <xf numFmtId="0" fontId="0" fillId="0" borderId="0" xfId="0"/>
    <xf numFmtId="0" fontId="0" fillId="0" borderId="0" xfId="0" applyAlignment="1">
      <alignment horizontal="center"/>
    </xf>
    <xf numFmtId="0" fontId="0" fillId="3" borderId="7" xfId="0" applyFill="1" applyBorder="1" applyAlignment="1">
      <alignment horizontal="center"/>
    </xf>
    <xf numFmtId="0" fontId="1" fillId="0" borderId="0" xfId="0" applyFont="1"/>
    <xf numFmtId="0" fontId="2" fillId="4" borderId="11"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2" fillId="5" borderId="11"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7" borderId="11"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1" fillId="0" borderId="0" xfId="0" applyFont="1" applyAlignment="1">
      <alignment vertical="center"/>
    </xf>
    <xf numFmtId="0" fontId="1" fillId="2" borderId="7" xfId="0" applyFont="1" applyFill="1" applyBorder="1" applyAlignment="1">
      <alignment horizontal="right" vertical="center"/>
    </xf>
    <xf numFmtId="0" fontId="3" fillId="0" borderId="0" xfId="0" applyFont="1" applyAlignment="1">
      <alignment vertical="center"/>
    </xf>
    <xf numFmtId="1" fontId="0" fillId="0" borderId="0" xfId="0" applyNumberFormat="1"/>
    <xf numFmtId="0" fontId="0" fillId="7" borderId="7" xfId="0" applyFill="1" applyBorder="1" applyAlignment="1">
      <alignment horizontal="center"/>
    </xf>
    <xf numFmtId="0" fontId="0" fillId="0" borderId="0" xfId="0" applyAlignment="1">
      <alignment horizontal="right"/>
    </xf>
    <xf numFmtId="2" fontId="0" fillId="0" borderId="0" xfId="0" applyNumberFormat="1"/>
    <xf numFmtId="0" fontId="0" fillId="0" borderId="0" xfId="0" applyAlignment="1">
      <alignment horizontal="left" wrapText="1" indent="1"/>
    </xf>
    <xf numFmtId="0" fontId="0" fillId="0" borderId="7" xfId="0" applyBorder="1" applyAlignment="1">
      <alignment horizontal="center"/>
    </xf>
    <xf numFmtId="0" fontId="1" fillId="2" borderId="17" xfId="0" applyFont="1" applyFill="1" applyBorder="1" applyAlignment="1">
      <alignment horizontal="center"/>
    </xf>
    <xf numFmtId="0" fontId="0" fillId="0" borderId="0" xfId="0" applyAlignment="1">
      <alignment horizontal="left" indent="1"/>
    </xf>
    <xf numFmtId="0" fontId="0" fillId="7" borderId="16" xfId="0" applyFill="1" applyBorder="1" applyAlignment="1">
      <alignment horizontal="center"/>
    </xf>
    <xf numFmtId="2" fontId="0" fillId="7" borderId="7" xfId="0" applyNumberFormat="1" applyFill="1" applyBorder="1" applyAlignment="1">
      <alignment horizontal="center"/>
    </xf>
    <xf numFmtId="0" fontId="10" fillId="0" borderId="0" xfId="1" applyFont="1" applyFill="1" applyAlignment="1">
      <alignment horizontal="center"/>
    </xf>
    <xf numFmtId="0" fontId="0" fillId="2" borderId="17" xfId="0" applyFill="1" applyBorder="1" applyAlignment="1">
      <alignment horizontal="center" vertical="center"/>
    </xf>
    <xf numFmtId="0" fontId="0" fillId="0" borderId="0" xfId="0" quotePrefix="1"/>
    <xf numFmtId="0" fontId="5" fillId="8" borderId="18" xfId="0" applyFont="1" applyFill="1" applyBorder="1" applyAlignment="1">
      <alignment horizontal="center" vertical="center"/>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8" xfId="0" applyFill="1" applyBorder="1" applyAlignment="1">
      <alignment vertical="center" wrapText="1"/>
    </xf>
    <xf numFmtId="0" fontId="0" fillId="2" borderId="0" xfId="0" applyFill="1" applyAlignment="1">
      <alignment vertical="center" wrapText="1"/>
    </xf>
    <xf numFmtId="0" fontId="0" fillId="2" borderId="15" xfId="0" applyFill="1" applyBorder="1" applyAlignment="1">
      <alignment vertical="center" wrapText="1"/>
    </xf>
    <xf numFmtId="0" fontId="0" fillId="2" borderId="4" xfId="0" applyFill="1" applyBorder="1" applyAlignment="1">
      <alignment vertical="center" wrapText="1"/>
    </xf>
    <xf numFmtId="0" fontId="0" fillId="2" borderId="5" xfId="0" applyFill="1" applyBorder="1" applyAlignment="1">
      <alignment vertical="center" wrapText="1"/>
    </xf>
    <xf numFmtId="0" fontId="0" fillId="2" borderId="6" xfId="0" applyFill="1" applyBorder="1" applyAlignment="1">
      <alignment vertical="center" wrapText="1"/>
    </xf>
    <xf numFmtId="0" fontId="0" fillId="2" borderId="1"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0" xfId="0" applyFill="1" applyAlignment="1">
      <alignment horizontal="left" vertical="center" wrapText="1" indent="1"/>
    </xf>
    <xf numFmtId="0" fontId="0" fillId="2" borderId="15" xfId="0" applyFill="1" applyBorder="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6" xfId="0" applyFill="1" applyBorder="1" applyAlignment="1">
      <alignment horizontal="left" vertical="center" wrapText="1" indent="1"/>
    </xf>
    <xf numFmtId="0" fontId="0" fillId="2" borderId="7"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15"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2" fillId="2" borderId="9"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6" fillId="0" borderId="0" xfId="0" applyFont="1" applyAlignment="1">
      <alignment horizontal="center" vertical="center"/>
    </xf>
  </cellXfs>
  <cellStyles count="2">
    <cellStyle name="Hyperlink" xfId="1" builtinId="8"/>
    <cellStyle name="Normal" xfId="0" builtinId="0"/>
  </cellStyles>
  <dxfs count="5">
    <dxf>
      <font>
        <color rgb="FF00B050"/>
      </font>
      <fill>
        <patternFill>
          <bgColor theme="2" tint="-9.9948118533890809E-2"/>
        </patternFill>
      </fill>
    </dxf>
    <dxf>
      <font>
        <b/>
        <i val="0"/>
        <color rgb="FF00B050"/>
      </font>
      <fill>
        <patternFill>
          <bgColor theme="7" tint="0.59996337778862885"/>
        </patternFill>
      </fill>
    </dxf>
    <dxf>
      <fill>
        <patternFill>
          <bgColor rgb="FFFFFF00"/>
        </patternFill>
      </fill>
    </dxf>
    <dxf>
      <fill>
        <patternFill>
          <bgColor rgb="FFFFFF00"/>
        </patternFill>
      </fill>
    </dxf>
    <dxf>
      <font>
        <color rgb="FF00B050"/>
      </font>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180340</xdr:colOff>
      <xdr:row>0</xdr:row>
      <xdr:rowOff>104140</xdr:rowOff>
    </xdr:from>
    <xdr:ext cx="7763510" cy="6874510"/>
    <xdr:sp macro="" textlink="">
      <xdr:nvSpPr>
        <xdr:cNvPr id="4" name="TextBox 3">
          <a:extLst>
            <a:ext uri="{FF2B5EF4-FFF2-40B4-BE49-F238E27FC236}">
              <a16:creationId xmlns:a16="http://schemas.microsoft.com/office/drawing/2014/main" id="{C3B74407-BB20-83DB-81C3-E7D2A18FBC46}"/>
            </a:ext>
          </a:extLst>
        </xdr:cNvPr>
        <xdr:cNvSpPr txBox="1"/>
      </xdr:nvSpPr>
      <xdr:spPr>
        <a:xfrm>
          <a:off x="180340" y="104140"/>
          <a:ext cx="7763510" cy="687451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oom.com/share/74e06cfd04d14d8f899d6ea4170d1eb5?sid=1222b472-393f-41f2-97a9-8d8b90d5934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46EF5-A4A6-406C-9968-B57A08238270}">
  <dimension ref="B2:I13"/>
  <sheetViews>
    <sheetView tabSelected="1" workbookViewId="0">
      <selection activeCell="B3" sqref="B3"/>
    </sheetView>
  </sheetViews>
  <sheetFormatPr defaultRowHeight="14.4"/>
  <cols>
    <col min="2" max="2" width="57.109375" customWidth="1"/>
  </cols>
  <sheetData>
    <row r="2" spans="2:9" ht="15" thickBot="1"/>
    <row r="3" spans="2:9" ht="15" thickBot="1">
      <c r="B3" s="21" t="s">
        <v>0</v>
      </c>
      <c r="D3" s="38" t="s">
        <v>1</v>
      </c>
      <c r="E3" s="39"/>
      <c r="F3" s="39"/>
      <c r="G3" s="39"/>
      <c r="H3" s="39"/>
      <c r="I3" s="40"/>
    </row>
    <row r="4" spans="2:9">
      <c r="B4" t="s">
        <v>2</v>
      </c>
      <c r="D4" s="41"/>
      <c r="E4" s="42"/>
      <c r="F4" s="42"/>
      <c r="G4" s="42"/>
      <c r="H4" s="42"/>
      <c r="I4" s="43"/>
    </row>
    <row r="5" spans="2:9">
      <c r="B5" s="22" t="s">
        <v>3</v>
      </c>
      <c r="D5" s="41"/>
      <c r="E5" s="42"/>
      <c r="F5" s="42"/>
      <c r="G5" s="42"/>
      <c r="H5" s="42"/>
      <c r="I5" s="43"/>
    </row>
    <row r="6" spans="2:9" ht="28.8">
      <c r="B6" s="19" t="s">
        <v>4</v>
      </c>
      <c r="D6" s="41"/>
      <c r="E6" s="42"/>
      <c r="F6" s="42"/>
      <c r="G6" s="42"/>
      <c r="H6" s="42"/>
      <c r="I6" s="43"/>
    </row>
    <row r="7" spans="2:9" ht="29.4" thickBot="1">
      <c r="B7" s="19" t="s">
        <v>5</v>
      </c>
      <c r="D7" s="44"/>
      <c r="E7" s="45"/>
      <c r="F7" s="45"/>
      <c r="G7" s="45"/>
      <c r="H7" s="45"/>
      <c r="I7" s="46"/>
    </row>
    <row r="8" spans="2:9">
      <c r="B8" s="22" t="s">
        <v>6</v>
      </c>
    </row>
    <row r="9" spans="2:9" ht="15" thickBot="1">
      <c r="B9" s="22"/>
    </row>
    <row r="10" spans="2:9" ht="15" thickBot="1">
      <c r="B10" s="21" t="s">
        <v>7</v>
      </c>
    </row>
    <row r="11" spans="2:9">
      <c r="B11" s="22" t="s">
        <v>8</v>
      </c>
    </row>
    <row r="12" spans="2:9" ht="28.8">
      <c r="B12" s="19" t="s">
        <v>9</v>
      </c>
    </row>
    <row r="13" spans="2:9">
      <c r="B13" s="22"/>
    </row>
  </sheetData>
  <mergeCells count="1">
    <mergeCell ref="D3: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2E2-92BC-47AC-B93B-26715350F717}">
  <dimension ref="B1:K35"/>
  <sheetViews>
    <sheetView workbookViewId="0">
      <selection activeCell="I12" sqref="I12"/>
    </sheetView>
  </sheetViews>
  <sheetFormatPr defaultRowHeight="14.4"/>
  <cols>
    <col min="1" max="1" width="3.6640625" customWidth="1"/>
    <col min="2" max="2" width="13.88671875" style="1" customWidth="1"/>
    <col min="3" max="3" width="11.6640625" style="1" customWidth="1"/>
    <col min="4" max="4" width="4.44140625" style="1" customWidth="1"/>
    <col min="5" max="5" width="10.6640625" style="1" customWidth="1"/>
    <col min="6" max="7" width="10.6640625" customWidth="1"/>
    <col min="8" max="8" width="26.109375" style="12" customWidth="1"/>
    <col min="9" max="9" width="22.33203125" style="3" bestFit="1" customWidth="1"/>
    <col min="10" max="12" width="22.33203125" bestFit="1" customWidth="1"/>
  </cols>
  <sheetData>
    <row r="1" spans="2:11" ht="15" thickBot="1"/>
    <row r="2" spans="2:11" ht="14.4" customHeight="1">
      <c r="B2" s="38" t="s">
        <v>10</v>
      </c>
      <c r="C2" s="39"/>
      <c r="D2" s="39"/>
      <c r="E2" s="39"/>
      <c r="F2" s="39"/>
      <c r="G2" s="39"/>
      <c r="H2" s="39"/>
      <c r="I2" s="40"/>
    </row>
    <row r="3" spans="2:11">
      <c r="B3" s="41"/>
      <c r="C3" s="42"/>
      <c r="D3" s="42"/>
      <c r="E3" s="42"/>
      <c r="F3" s="42"/>
      <c r="G3" s="42"/>
      <c r="H3" s="42"/>
      <c r="I3" s="43"/>
    </row>
    <row r="4" spans="2:11" ht="14.4" customHeight="1">
      <c r="B4" s="41"/>
      <c r="C4" s="42"/>
      <c r="D4" s="42"/>
      <c r="E4" s="42"/>
      <c r="F4" s="42"/>
      <c r="G4" s="42"/>
      <c r="H4" s="42"/>
      <c r="I4" s="43"/>
    </row>
    <row r="5" spans="2:11" ht="14.4" customHeight="1">
      <c r="B5" s="41"/>
      <c r="C5" s="42"/>
      <c r="D5" s="42"/>
      <c r="E5" s="42"/>
      <c r="F5" s="42"/>
      <c r="G5" s="42"/>
      <c r="H5" s="42"/>
      <c r="I5" s="43"/>
    </row>
    <row r="6" spans="2:11" ht="15" customHeight="1">
      <c r="B6" s="41"/>
      <c r="C6" s="42"/>
      <c r="D6" s="42"/>
      <c r="E6" s="42"/>
      <c r="F6" s="42"/>
      <c r="G6" s="42"/>
      <c r="H6" s="42"/>
      <c r="I6" s="43"/>
    </row>
    <row r="7" spans="2:11" ht="16.95" customHeight="1">
      <c r="B7" s="41"/>
      <c r="C7" s="42"/>
      <c r="D7" s="42"/>
      <c r="E7" s="42"/>
      <c r="F7" s="42"/>
      <c r="G7" s="42"/>
      <c r="H7" s="42"/>
      <c r="I7" s="43"/>
    </row>
    <row r="8" spans="2:11" ht="16.95" customHeight="1">
      <c r="B8" s="41"/>
      <c r="C8" s="42"/>
      <c r="D8" s="42"/>
      <c r="E8" s="42"/>
      <c r="F8" s="42"/>
      <c r="G8" s="42"/>
      <c r="H8" s="42"/>
      <c r="I8" s="43"/>
    </row>
    <row r="9" spans="2:11">
      <c r="B9" s="41"/>
      <c r="C9" s="42"/>
      <c r="D9" s="42"/>
      <c r="E9" s="42"/>
      <c r="F9" s="42"/>
      <c r="G9" s="42"/>
      <c r="H9" s="42"/>
      <c r="I9" s="43"/>
    </row>
    <row r="10" spans="2:11" ht="33.6" customHeight="1" thickBot="1">
      <c r="B10" s="44"/>
      <c r="C10" s="45"/>
      <c r="D10" s="45"/>
      <c r="E10" s="45"/>
      <c r="F10" s="45"/>
      <c r="G10" s="45"/>
      <c r="H10" s="45"/>
      <c r="I10" s="46"/>
    </row>
    <row r="11" spans="2:11" ht="16.2" thickBot="1">
      <c r="B11"/>
      <c r="C11"/>
      <c r="D11"/>
      <c r="E11"/>
      <c r="H11" s="25" t="s">
        <v>11</v>
      </c>
      <c r="I11"/>
    </row>
    <row r="12" spans="2:11" ht="14.4" customHeight="1" thickBot="1">
      <c r="B12" s="38" t="str">
        <f>IF(I12="Your Name Here!","Enter your name in I2","Plot the graph of the line passing through "&amp;Random!K24&amp;" and "&amp;Random!K25&amp;" from x = -5 to x = 5 using step of size 0.5")</f>
        <v>Enter your name in I2</v>
      </c>
      <c r="C12" s="39"/>
      <c r="D12" s="39"/>
      <c r="E12" s="39"/>
      <c r="F12" s="40"/>
      <c r="H12" s="13" t="s">
        <v>12</v>
      </c>
      <c r="I12" s="28" t="s">
        <v>13</v>
      </c>
      <c r="J12" s="26" t="s">
        <v>93</v>
      </c>
    </row>
    <row r="13" spans="2:11" ht="15" thickBot="1">
      <c r="B13" s="44"/>
      <c r="C13" s="45"/>
      <c r="D13" s="45"/>
      <c r="E13" s="45"/>
      <c r="F13" s="46"/>
      <c r="H13"/>
      <c r="I13"/>
    </row>
    <row r="14" spans="2:11" ht="14.4" customHeight="1" thickTop="1">
      <c r="E14" s="1" t="s">
        <v>14</v>
      </c>
      <c r="F14" s="1" t="s">
        <v>15</v>
      </c>
      <c r="H14" s="38" t="s">
        <v>16</v>
      </c>
      <c r="I14" s="40"/>
      <c r="J14" s="57" t="s">
        <v>17</v>
      </c>
      <c r="K14" s="58"/>
    </row>
    <row r="15" spans="2:11" ht="15.6">
      <c r="B15" s="47" t="s">
        <v>18</v>
      </c>
      <c r="C15" s="47"/>
      <c r="E15" s="2"/>
      <c r="F15" s="24"/>
      <c r="H15" s="41"/>
      <c r="I15" s="43"/>
      <c r="J15" s="4" t="s">
        <v>19</v>
      </c>
      <c r="K15" s="5" t="s">
        <v>20</v>
      </c>
    </row>
    <row r="16" spans="2:11" ht="16.2" thickBot="1">
      <c r="B16" s="20" t="s">
        <v>21</v>
      </c>
      <c r="C16" s="20" t="s">
        <v>22</v>
      </c>
      <c r="E16" s="2"/>
      <c r="F16" s="24"/>
      <c r="H16" s="44"/>
      <c r="I16" s="46"/>
      <c r="J16" s="6" t="s">
        <v>23</v>
      </c>
      <c r="K16" s="7" t="s">
        <v>24</v>
      </c>
    </row>
    <row r="17" spans="2:11" ht="15.6">
      <c r="B17" s="2"/>
      <c r="C17" s="2"/>
      <c r="E17" s="2"/>
      <c r="F17" s="24"/>
      <c r="H17" s="38" t="s">
        <v>25</v>
      </c>
      <c r="I17" s="40"/>
      <c r="J17" s="8" t="s">
        <v>26</v>
      </c>
      <c r="K17" s="7" t="s">
        <v>27</v>
      </c>
    </row>
    <row r="18" spans="2:11" ht="15.6">
      <c r="B18" s="47" t="s">
        <v>28</v>
      </c>
      <c r="C18" s="47"/>
      <c r="E18" s="2"/>
      <c r="F18" s="24"/>
      <c r="H18" s="41"/>
      <c r="I18" s="43"/>
      <c r="J18" s="9" t="s">
        <v>29</v>
      </c>
      <c r="K18" s="7" t="s">
        <v>30</v>
      </c>
    </row>
    <row r="19" spans="2:11" ht="17.399999999999999" customHeight="1" thickBot="1">
      <c r="B19" s="20" t="s">
        <v>31</v>
      </c>
      <c r="C19" s="20" t="s">
        <v>32</v>
      </c>
      <c r="E19" s="2"/>
      <c r="F19" s="24"/>
      <c r="H19" s="44"/>
      <c r="I19" s="46"/>
      <c r="J19" s="10" t="s">
        <v>33</v>
      </c>
      <c r="K19" s="11" t="s">
        <v>34</v>
      </c>
    </row>
    <row r="20" spans="2:11" ht="15" thickBot="1">
      <c r="B20" s="2"/>
      <c r="C20" s="2"/>
      <c r="E20" s="2"/>
      <c r="F20" s="24"/>
    </row>
    <row r="21" spans="2:11">
      <c r="E21" s="2"/>
      <c r="F21" s="24"/>
      <c r="H21" s="48" t="s">
        <v>35</v>
      </c>
      <c r="I21" s="49"/>
      <c r="J21" s="50"/>
    </row>
    <row r="22" spans="2:11">
      <c r="B22" s="47" t="s">
        <v>36</v>
      </c>
      <c r="C22" s="47"/>
      <c r="E22" s="2"/>
      <c r="F22" s="24"/>
      <c r="H22" s="51"/>
      <c r="I22" s="52"/>
      <c r="J22" s="53"/>
    </row>
    <row r="23" spans="2:11">
      <c r="B23" s="17" t="s">
        <v>37</v>
      </c>
      <c r="C23" s="23"/>
      <c r="E23" s="2"/>
      <c r="F23" s="24"/>
      <c r="H23" s="51"/>
      <c r="I23" s="52"/>
      <c r="J23" s="53"/>
    </row>
    <row r="24" spans="2:11">
      <c r="B24" s="17" t="s">
        <v>38</v>
      </c>
      <c r="C24" s="16"/>
      <c r="E24" s="2"/>
      <c r="F24" s="24"/>
      <c r="H24" s="51"/>
      <c r="I24" s="52"/>
      <c r="J24" s="53"/>
    </row>
    <row r="25" spans="2:11" ht="15" thickBot="1">
      <c r="E25" s="2"/>
      <c r="F25" s="24"/>
      <c r="H25" s="51"/>
      <c r="I25" s="52"/>
      <c r="J25" s="53"/>
    </row>
    <row r="26" spans="2:11">
      <c r="B26" s="38" t="s">
        <v>39</v>
      </c>
      <c r="C26" s="40"/>
      <c r="E26" s="2"/>
      <c r="F26" s="24"/>
      <c r="H26" s="51"/>
      <c r="I26" s="52"/>
      <c r="J26" s="53"/>
    </row>
    <row r="27" spans="2:11">
      <c r="B27" s="41"/>
      <c r="C27" s="43"/>
      <c r="E27" s="2"/>
      <c r="F27" s="24"/>
      <c r="H27" s="51"/>
      <c r="I27" s="52"/>
      <c r="J27" s="53"/>
    </row>
    <row r="28" spans="2:11">
      <c r="B28" s="41"/>
      <c r="C28" s="43"/>
      <c r="E28" s="2"/>
      <c r="F28" s="24"/>
      <c r="H28" s="51"/>
      <c r="I28" s="52"/>
      <c r="J28" s="53"/>
    </row>
    <row r="29" spans="2:11">
      <c r="B29" s="41"/>
      <c r="C29" s="43"/>
      <c r="E29" s="2"/>
      <c r="F29" s="24"/>
      <c r="H29" s="51"/>
      <c r="I29" s="52"/>
      <c r="J29" s="53"/>
    </row>
    <row r="30" spans="2:11">
      <c r="B30" s="41"/>
      <c r="C30" s="43"/>
      <c r="E30" s="2"/>
      <c r="F30" s="24"/>
      <c r="H30" s="51"/>
      <c r="I30" s="52"/>
      <c r="J30" s="53"/>
    </row>
    <row r="31" spans="2:11" ht="15" thickBot="1">
      <c r="B31" s="44"/>
      <c r="C31" s="46"/>
      <c r="E31" s="2"/>
      <c r="F31" s="24"/>
      <c r="H31" s="51"/>
      <c r="I31" s="52"/>
      <c r="J31" s="53"/>
    </row>
    <row r="32" spans="2:11">
      <c r="E32" s="2"/>
      <c r="F32" s="24"/>
      <c r="H32" s="51"/>
      <c r="I32" s="52"/>
      <c r="J32" s="53"/>
    </row>
    <row r="33" spans="5:10">
      <c r="E33" s="2"/>
      <c r="F33" s="24"/>
      <c r="G33" s="19"/>
      <c r="H33" s="51"/>
      <c r="I33" s="52"/>
      <c r="J33" s="53"/>
    </row>
    <row r="34" spans="5:10">
      <c r="E34" s="2"/>
      <c r="F34" s="24"/>
      <c r="H34" s="51"/>
      <c r="I34" s="52"/>
      <c r="J34" s="53"/>
    </row>
    <row r="35" spans="5:10" ht="15" thickBot="1">
      <c r="E35" s="2"/>
      <c r="F35" s="24"/>
      <c r="H35" s="54"/>
      <c r="I35" s="55"/>
      <c r="J35" s="56"/>
    </row>
  </sheetData>
  <mergeCells count="10">
    <mergeCell ref="B2:I10"/>
    <mergeCell ref="B15:C15"/>
    <mergeCell ref="B18:C18"/>
    <mergeCell ref="B26:C31"/>
    <mergeCell ref="H21:J35"/>
    <mergeCell ref="J14:K14"/>
    <mergeCell ref="B12:F13"/>
    <mergeCell ref="H17:I19"/>
    <mergeCell ref="B22:C22"/>
    <mergeCell ref="H14:I16"/>
  </mergeCells>
  <conditionalFormatting sqref="G30">
    <cfRule type="expression" dxfId="4" priority="7">
      <formula>AND(NOT(ISBLANK(G30)),ABS(G30-#REF!)&lt;0.01)</formula>
    </cfRule>
  </conditionalFormatting>
  <conditionalFormatting sqref="C23:C24">
    <cfRule type="expression" dxfId="3" priority="1">
      <formula>NOT(OR(ISBLANK(C23),_xlfn.ISFORMULA(C23)))</formula>
    </cfRule>
  </conditionalFormatting>
  <hyperlinks>
    <hyperlink ref="H11" r:id="rId1" xr:uid="{E218F2FB-2C0F-45CC-B2E0-CF72BEEB146E}"/>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expression" priority="2" id="{00000000-000E-0000-0100-000001000000}">
            <xm:f>GradeSheet!$O$15=FALSE</xm:f>
            <x14:dxf>
              <fill>
                <patternFill>
                  <bgColor rgb="FFFFFF00"/>
                </patternFill>
              </fill>
            </x14:dxf>
          </x14:cfRule>
          <xm:sqref>F15:F35</xm:sqref>
        </x14:conditionalFormatting>
        <x14:conditionalFormatting xmlns:xm="http://schemas.microsoft.com/office/excel/2006/main">
          <x14:cfRule type="expression" priority="6" id="{6D09B46D-04E2-4796-AD38-121C79D86C34}">
            <xm:f>AND($I$12&lt;&gt;"Your Name Here!",C15=GradeSheet!C15)</xm:f>
            <x14:dxf>
              <font>
                <b/>
                <i val="0"/>
                <color rgb="FF00B050"/>
              </font>
              <fill>
                <patternFill>
                  <bgColor theme="7" tint="0.59996337778862885"/>
                </patternFill>
              </fill>
            </x14:dxf>
          </x14:cfRule>
          <xm:sqref>C23:C24 F15:F35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72C5-2D04-4D08-AB5D-710F054EC47B}">
  <dimension ref="B1:O36"/>
  <sheetViews>
    <sheetView topLeftCell="A25" workbookViewId="0">
      <selection activeCell="N33" sqref="N32:N33"/>
    </sheetView>
  </sheetViews>
  <sheetFormatPr defaultRowHeight="14.4"/>
  <cols>
    <col min="1" max="1" width="3.6640625" customWidth="1"/>
    <col min="2" max="2" width="13.88671875" style="1" customWidth="1"/>
    <col min="3" max="3" width="10.6640625" style="1" customWidth="1"/>
    <col min="4" max="4" width="4.44140625" style="1" customWidth="1"/>
    <col min="5" max="5" width="10.6640625" style="1" customWidth="1"/>
    <col min="6" max="7" width="10.6640625" customWidth="1"/>
    <col min="8" max="8" width="5.44140625" style="12" bestFit="1" customWidth="1"/>
    <col min="9" max="9" width="5.77734375" style="3" bestFit="1" customWidth="1"/>
    <col min="10" max="14" width="5.77734375" bestFit="1" customWidth="1"/>
    <col min="15" max="15" width="5.44140625" bestFit="1" customWidth="1"/>
  </cols>
  <sheetData>
    <row r="1" spans="2:15" ht="15" thickBot="1"/>
    <row r="2" spans="2:15" ht="14.4" customHeight="1">
      <c r="B2" s="29"/>
      <c r="C2" s="30"/>
      <c r="D2" s="30"/>
      <c r="E2" s="30"/>
      <c r="F2" s="30"/>
      <c r="G2" s="30"/>
      <c r="H2" s="30"/>
      <c r="I2" s="31"/>
    </row>
    <row r="3" spans="2:15">
      <c r="B3" s="32"/>
      <c r="C3" s="33"/>
      <c r="D3" s="33"/>
      <c r="E3" s="33"/>
      <c r="F3" s="33"/>
      <c r="G3" s="33"/>
      <c r="H3" s="33"/>
      <c r="I3" s="34"/>
    </row>
    <row r="4" spans="2:15" ht="14.4" customHeight="1">
      <c r="B4" s="32"/>
      <c r="C4" s="33"/>
      <c r="D4" s="33"/>
      <c r="E4" s="33"/>
      <c r="F4" s="33"/>
      <c r="G4" s="33"/>
      <c r="H4" s="33"/>
      <c r="I4" s="34"/>
    </row>
    <row r="5" spans="2:15" ht="14.4" customHeight="1">
      <c r="B5" s="32"/>
      <c r="C5" s="33"/>
      <c r="D5" s="33"/>
      <c r="E5" s="33"/>
      <c r="F5" s="33"/>
      <c r="G5" s="33"/>
      <c r="H5" s="33"/>
      <c r="I5" s="34"/>
    </row>
    <row r="6" spans="2:15" ht="15" customHeight="1">
      <c r="B6" s="32"/>
      <c r="C6" s="33"/>
      <c r="D6" s="33"/>
      <c r="E6" s="33"/>
      <c r="F6" s="33"/>
      <c r="G6" s="33"/>
      <c r="H6" s="33"/>
      <c r="I6" s="34"/>
    </row>
    <row r="7" spans="2:15" ht="16.95" customHeight="1">
      <c r="B7" s="32"/>
      <c r="C7" s="33"/>
      <c r="D7" s="33"/>
      <c r="E7" s="33"/>
      <c r="F7" s="33"/>
      <c r="G7" s="33"/>
      <c r="H7" s="33"/>
      <c r="I7" s="34"/>
    </row>
    <row r="8" spans="2:15" ht="16.95" customHeight="1">
      <c r="B8" s="32"/>
      <c r="C8" s="33"/>
      <c r="D8" s="33"/>
      <c r="E8" s="33"/>
      <c r="F8" s="33"/>
      <c r="G8" s="33"/>
      <c r="H8" s="33"/>
      <c r="I8" s="34"/>
    </row>
    <row r="9" spans="2:15">
      <c r="B9" s="32"/>
      <c r="C9" s="33"/>
      <c r="D9" s="33"/>
      <c r="E9" s="33"/>
      <c r="F9" s="33"/>
      <c r="G9" s="33"/>
      <c r="H9" s="33"/>
      <c r="I9" s="34"/>
    </row>
    <row r="10" spans="2:15" ht="15" thickBot="1">
      <c r="B10" s="35"/>
      <c r="C10" s="36"/>
      <c r="D10" s="36"/>
      <c r="E10" s="36"/>
      <c r="F10" s="36"/>
      <c r="G10" s="36"/>
      <c r="H10" s="36"/>
      <c r="I10" s="37"/>
    </row>
    <row r="11" spans="2:15" ht="15" thickBot="1">
      <c r="B11"/>
      <c r="C11"/>
      <c r="D11"/>
      <c r="E11"/>
      <c r="H11"/>
      <c r="I11"/>
    </row>
    <row r="12" spans="2:15" ht="14.4" customHeight="1">
      <c r="B12" s="29"/>
      <c r="C12" s="30"/>
      <c r="D12" s="30"/>
      <c r="E12" s="30"/>
      <c r="F12" s="31"/>
      <c r="H12"/>
      <c r="I12"/>
    </row>
    <row r="13" spans="2:15" ht="15" thickBot="1">
      <c r="B13" s="35"/>
      <c r="C13" s="36"/>
      <c r="D13" s="36"/>
      <c r="E13" s="36"/>
      <c r="F13" s="37"/>
      <c r="H13"/>
      <c r="I13"/>
    </row>
    <row r="14" spans="2:15" ht="14.4" customHeight="1">
      <c r="E14" s="1" t="s">
        <v>14</v>
      </c>
      <c r="F14" s="1" t="s">
        <v>15</v>
      </c>
      <c r="H14"/>
      <c r="I14"/>
    </row>
    <row r="15" spans="2:15" ht="15.6">
      <c r="B15" s="47" t="s">
        <v>18</v>
      </c>
      <c r="C15" s="47"/>
      <c r="E15" s="2">
        <v>-5</v>
      </c>
      <c r="F15" s="24" cm="1">
        <f t="array" ref="F15:F35">C23*E15:E35+C24</f>
        <v>0</v>
      </c>
      <c r="H15" t="b">
        <f>OR(ISBLANK(Linear!F15),_xlfn.ISFORMULA(Linear!F15))</f>
        <v>1</v>
      </c>
      <c r="I15" t="e">
        <f ca="1">_xlfn.FORMULATEXT(Linear!F15)="=C23*E15:E35+C24"</f>
        <v>#N/A</v>
      </c>
      <c r="J15" t="e">
        <f ca="1">_xlfn.FORMULATEXT(Linear!F15)="=C23*E15:E35 + C24"</f>
        <v>#N/A</v>
      </c>
      <c r="K15" t="e">
        <f ca="1">_xlfn.FORMULATEXT(Linear!F15)="=E15:E35*c23+C24"</f>
        <v>#N/A</v>
      </c>
      <c r="L15" t="e">
        <f ca="1">_xlfn.FORMULATEXT(Linear!F15)="=C24+C23*E15:E35"</f>
        <v>#N/A</v>
      </c>
      <c r="M15" t="e">
        <f ca="1">_xlfn.FORMULATEXT(Linear!F15)="=C24+E15:E35*c23"</f>
        <v>#N/A</v>
      </c>
      <c r="N15" t="e">
        <f ca="1">OR(I15:M15)</f>
        <v>#N/A</v>
      </c>
      <c r="O15" t="e">
        <f ca="1">OR(N15,AND(H15:H31))</f>
        <v>#N/A</v>
      </c>
    </row>
    <row r="16" spans="2:15" ht="15.6">
      <c r="B16" s="20" t="s">
        <v>21</v>
      </c>
      <c r="C16" s="20" t="s">
        <v>22</v>
      </c>
      <c r="E16" s="2">
        <v>-4.5</v>
      </c>
      <c r="F16" s="24">
        <v>0</v>
      </c>
      <c r="H16" t="b">
        <f>OR(ISBLANK(Linear!F16),_xlfn.ISFORMULA(Linear!F16))</f>
        <v>1</v>
      </c>
      <c r="I16"/>
    </row>
    <row r="17" spans="2:9">
      <c r="B17" s="2">
        <f>Linear!B17</f>
        <v>0</v>
      </c>
      <c r="C17" s="2">
        <f>Linear!C17</f>
        <v>0</v>
      </c>
      <c r="E17" s="2">
        <v>-4</v>
      </c>
      <c r="F17" s="24">
        <v>0</v>
      </c>
      <c r="H17" t="b">
        <f>OR(ISBLANK(Linear!F17),_xlfn.ISFORMULA(Linear!F17))</f>
        <v>1</v>
      </c>
      <c r="I17"/>
    </row>
    <row r="18" spans="2:9" ht="15.6">
      <c r="B18" s="47" t="s">
        <v>28</v>
      </c>
      <c r="C18" s="47"/>
      <c r="E18" s="2">
        <v>-3.5</v>
      </c>
      <c r="F18" s="24">
        <v>0</v>
      </c>
      <c r="H18" t="b">
        <f>OR(ISBLANK(Linear!F18),_xlfn.ISFORMULA(Linear!F18))</f>
        <v>1</v>
      </c>
      <c r="I18"/>
    </row>
    <row r="19" spans="2:9" ht="17.399999999999999" customHeight="1">
      <c r="B19" s="20" t="s">
        <v>31</v>
      </c>
      <c r="C19" s="20" t="s">
        <v>32</v>
      </c>
      <c r="E19" s="2">
        <v>-3</v>
      </c>
      <c r="F19" s="24">
        <v>0</v>
      </c>
      <c r="H19" t="b">
        <f>OR(ISBLANK(Linear!F19),_xlfn.ISFORMULA(Linear!F19))</f>
        <v>1</v>
      </c>
      <c r="I19"/>
    </row>
    <row r="20" spans="2:9">
      <c r="B20" s="2">
        <f>Linear!B20</f>
        <v>0</v>
      </c>
      <c r="C20" s="2">
        <f>Linear!C20</f>
        <v>0</v>
      </c>
      <c r="E20" s="2">
        <v>-2.5</v>
      </c>
      <c r="F20" s="24">
        <v>0</v>
      </c>
      <c r="H20" t="b">
        <f>OR(ISBLANK(Linear!F20),_xlfn.ISFORMULA(Linear!F20))</f>
        <v>1</v>
      </c>
      <c r="I20"/>
    </row>
    <row r="21" spans="2:9">
      <c r="E21" s="2">
        <v>-2</v>
      </c>
      <c r="F21" s="24">
        <v>0</v>
      </c>
      <c r="H21" t="b">
        <f>OR(ISBLANK(Linear!F21),_xlfn.ISFORMULA(Linear!F21))</f>
        <v>1</v>
      </c>
      <c r="I21"/>
    </row>
    <row r="22" spans="2:9">
      <c r="B22" s="47" t="s">
        <v>36</v>
      </c>
      <c r="C22" s="47"/>
      <c r="E22" s="2">
        <v>-1.5</v>
      </c>
      <c r="F22" s="24">
        <v>0</v>
      </c>
      <c r="H22" t="b">
        <f>OR(ISBLANK(Linear!F22),_xlfn.ISFORMULA(Linear!F22))</f>
        <v>1</v>
      </c>
      <c r="I22"/>
    </row>
    <row r="23" spans="2:9">
      <c r="B23" s="17" t="s">
        <v>37</v>
      </c>
      <c r="C23" s="23">
        <f>IF(B17&lt;&gt;B20,(C17-C20)/(B17-B20),C17-C20)</f>
        <v>0</v>
      </c>
      <c r="E23" s="2">
        <v>-1</v>
      </c>
      <c r="F23" s="24">
        <v>0</v>
      </c>
      <c r="H23" t="b">
        <f>OR(ISBLANK(Linear!F23),_xlfn.ISFORMULA(Linear!F23))</f>
        <v>1</v>
      </c>
      <c r="I23"/>
    </row>
    <row r="24" spans="2:9">
      <c r="B24" s="17" t="s">
        <v>38</v>
      </c>
      <c r="C24" s="16">
        <f>C17-C23*B17</f>
        <v>0</v>
      </c>
      <c r="E24" s="2">
        <v>-0.5</v>
      </c>
      <c r="F24" s="24">
        <v>0</v>
      </c>
      <c r="H24" t="b">
        <f>OR(ISBLANK(Linear!F24),_xlfn.ISFORMULA(Linear!F24))</f>
        <v>1</v>
      </c>
      <c r="I24"/>
    </row>
    <row r="25" spans="2:9" ht="15" thickBot="1">
      <c r="E25" s="2">
        <v>0</v>
      </c>
      <c r="F25" s="24">
        <v>0</v>
      </c>
      <c r="H25" t="b">
        <f>OR(ISBLANK(Linear!F25),_xlfn.ISFORMULA(Linear!F25))</f>
        <v>1</v>
      </c>
      <c r="I25"/>
    </row>
    <row r="26" spans="2:9">
      <c r="B26" s="38" t="s">
        <v>39</v>
      </c>
      <c r="C26" s="40"/>
      <c r="E26" s="2">
        <v>0.5</v>
      </c>
      <c r="F26" s="24">
        <v>0</v>
      </c>
      <c r="H26" t="b">
        <f>OR(ISBLANK(Linear!F26),_xlfn.ISFORMULA(Linear!F26))</f>
        <v>1</v>
      </c>
      <c r="I26"/>
    </row>
    <row r="27" spans="2:9">
      <c r="B27" s="41"/>
      <c r="C27" s="43"/>
      <c r="E27" s="2">
        <v>1</v>
      </c>
      <c r="F27" s="24">
        <v>0</v>
      </c>
      <c r="H27" t="b">
        <f>OR(ISBLANK(Linear!F27),_xlfn.ISFORMULA(Linear!F27))</f>
        <v>1</v>
      </c>
      <c r="I27"/>
    </row>
    <row r="28" spans="2:9">
      <c r="B28" s="41"/>
      <c r="C28" s="43"/>
      <c r="E28" s="2">
        <v>1.5</v>
      </c>
      <c r="F28" s="24">
        <v>0</v>
      </c>
      <c r="H28" t="b">
        <f>OR(ISBLANK(Linear!F28),_xlfn.ISFORMULA(Linear!F28))</f>
        <v>1</v>
      </c>
      <c r="I28"/>
    </row>
    <row r="29" spans="2:9">
      <c r="B29" s="41"/>
      <c r="C29" s="43"/>
      <c r="E29" s="2">
        <v>2</v>
      </c>
      <c r="F29" s="24">
        <v>0</v>
      </c>
      <c r="H29" t="b">
        <f>OR(ISBLANK(Linear!F29),_xlfn.ISFORMULA(Linear!F29))</f>
        <v>1</v>
      </c>
      <c r="I29"/>
    </row>
    <row r="30" spans="2:9">
      <c r="B30" s="41"/>
      <c r="C30" s="43"/>
      <c r="E30" s="2">
        <v>2.5</v>
      </c>
      <c r="F30" s="24">
        <v>0</v>
      </c>
      <c r="H30" t="b">
        <f>OR(ISBLANK(Linear!F30),_xlfn.ISFORMULA(Linear!F30))</f>
        <v>1</v>
      </c>
      <c r="I30"/>
    </row>
    <row r="31" spans="2:9" ht="15" thickBot="1">
      <c r="B31" s="44"/>
      <c r="C31" s="46"/>
      <c r="E31" s="2">
        <v>3</v>
      </c>
      <c r="F31" s="24">
        <v>0</v>
      </c>
      <c r="H31" t="b">
        <f>OR(ISBLANK(Linear!F31),_xlfn.ISFORMULA(Linear!F31))</f>
        <v>1</v>
      </c>
      <c r="I31"/>
    </row>
    <row r="32" spans="2:9">
      <c r="E32" s="2">
        <v>3.5</v>
      </c>
      <c r="F32" s="24">
        <v>0</v>
      </c>
      <c r="H32" t="b">
        <f>OR(ISBLANK(Linear!F32),_xlfn.ISFORMULA(Linear!F32))</f>
        <v>1</v>
      </c>
      <c r="I32"/>
    </row>
    <row r="33" spans="5:9">
      <c r="E33" s="2">
        <v>4</v>
      </c>
      <c r="F33" s="24">
        <v>0</v>
      </c>
      <c r="G33" s="19"/>
      <c r="H33" t="b">
        <f>OR(ISBLANK(Linear!F33),_xlfn.ISFORMULA(Linear!F33))</f>
        <v>1</v>
      </c>
      <c r="I33"/>
    </row>
    <row r="34" spans="5:9">
      <c r="E34" s="2">
        <v>4.5</v>
      </c>
      <c r="F34" s="24">
        <v>0</v>
      </c>
      <c r="H34" t="b">
        <f>OR(ISBLANK(Linear!F34),_xlfn.ISFORMULA(Linear!F34))</f>
        <v>1</v>
      </c>
      <c r="I34"/>
    </row>
    <row r="35" spans="5:9">
      <c r="E35" s="2">
        <v>5</v>
      </c>
      <c r="F35" s="24">
        <v>0</v>
      </c>
      <c r="H35" t="b">
        <f>OR(ISBLANK(Linear!F35),_xlfn.ISFORMULA(Linear!F35))</f>
        <v>1</v>
      </c>
      <c r="I35"/>
    </row>
    <row r="36" spans="5:9">
      <c r="H36"/>
      <c r="I36"/>
    </row>
  </sheetData>
  <sheetProtection algorithmName="SHA-512" hashValue="A36zDiGG8gZNuazK8mtINNweJquur1z1VURgVX1/Eaz0s+4HoYxdNAvb0uAV8WmEC+3uSkLhSkbWV9sxqAZ+GA==" saltValue="xmVtyTvbdQxIVuzE+UCplw==" spinCount="100000" sheet="1" objects="1" scenarios="1"/>
  <mergeCells count="4">
    <mergeCell ref="B22:C22"/>
    <mergeCell ref="B26:C31"/>
    <mergeCell ref="B15:C15"/>
    <mergeCell ref="B18:C18"/>
  </mergeCells>
  <conditionalFormatting sqref="G30">
    <cfRule type="expression" dxfId="0" priority="1">
      <formula>AND(NOT(ISBLANK(G30)),ABS(G30-#REF!)&lt;0.01)</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1A09F-729C-4167-B3A7-23BD6553700B}">
  <dimension ref="B2:J11"/>
  <sheetViews>
    <sheetView workbookViewId="0">
      <selection activeCell="M11" sqref="M11"/>
    </sheetView>
  </sheetViews>
  <sheetFormatPr defaultRowHeight="14.4"/>
  <sheetData>
    <row r="2" spans="2:10">
      <c r="B2" s="59" t="s">
        <v>40</v>
      </c>
      <c r="C2" s="59"/>
      <c r="D2" s="59"/>
      <c r="E2" s="59"/>
      <c r="F2" s="59"/>
      <c r="G2" s="59"/>
      <c r="H2" s="59"/>
      <c r="I2" s="59"/>
      <c r="J2" s="59"/>
    </row>
    <row r="3" spans="2:10">
      <c r="B3" s="59"/>
      <c r="C3" s="59"/>
      <c r="D3" s="59"/>
      <c r="E3" s="59"/>
      <c r="F3" s="59"/>
      <c r="G3" s="59"/>
      <c r="H3" s="59"/>
      <c r="I3" s="59"/>
      <c r="J3" s="59"/>
    </row>
    <row r="4" spans="2:10">
      <c r="B4" s="59"/>
      <c r="C4" s="59"/>
      <c r="D4" s="59"/>
      <c r="E4" s="59"/>
      <c r="F4" s="59"/>
      <c r="G4" s="59"/>
      <c r="H4" s="59"/>
      <c r="I4" s="59"/>
      <c r="J4" s="59"/>
    </row>
    <row r="5" spans="2:10">
      <c r="B5" s="59"/>
      <c r="C5" s="59"/>
      <c r="D5" s="59"/>
      <c r="E5" s="59"/>
      <c r="F5" s="59"/>
      <c r="G5" s="59"/>
      <c r="H5" s="59"/>
      <c r="I5" s="59"/>
      <c r="J5" s="59"/>
    </row>
    <row r="6" spans="2:10">
      <c r="B6" s="59"/>
      <c r="C6" s="59"/>
      <c r="D6" s="59"/>
      <c r="E6" s="59"/>
      <c r="F6" s="59"/>
      <c r="G6" s="59"/>
      <c r="H6" s="59"/>
      <c r="I6" s="59"/>
      <c r="J6" s="59"/>
    </row>
    <row r="7" spans="2:10">
      <c r="B7" s="59"/>
      <c r="C7" s="59"/>
      <c r="D7" s="59"/>
      <c r="E7" s="59"/>
      <c r="F7" s="59"/>
      <c r="G7" s="59"/>
      <c r="H7" s="59"/>
      <c r="I7" s="59"/>
      <c r="J7" s="59"/>
    </row>
    <row r="8" spans="2:10">
      <c r="B8" s="59"/>
      <c r="C8" s="59"/>
      <c r="D8" s="59"/>
      <c r="E8" s="59"/>
      <c r="F8" s="59"/>
      <c r="G8" s="59"/>
      <c r="H8" s="59"/>
      <c r="I8" s="59"/>
      <c r="J8" s="59"/>
    </row>
    <row r="9" spans="2:10">
      <c r="B9" s="59"/>
      <c r="C9" s="59"/>
      <c r="D9" s="59"/>
      <c r="E9" s="59"/>
      <c r="F9" s="59"/>
      <c r="G9" s="59"/>
      <c r="H9" s="59"/>
      <c r="I9" s="59"/>
      <c r="J9" s="59"/>
    </row>
    <row r="10" spans="2:10">
      <c r="B10" s="59"/>
      <c r="C10" s="59"/>
      <c r="D10" s="59"/>
      <c r="E10" s="59"/>
      <c r="F10" s="59"/>
      <c r="G10" s="59"/>
      <c r="H10" s="59"/>
      <c r="I10" s="59"/>
      <c r="J10" s="59"/>
    </row>
    <row r="11" spans="2:10">
      <c r="B11" s="59"/>
      <c r="C11" s="59"/>
      <c r="D11" s="59"/>
      <c r="E11" s="59"/>
      <c r="F11" s="59"/>
      <c r="G11" s="59"/>
      <c r="H11" s="59"/>
      <c r="I11" s="59"/>
      <c r="J11" s="59"/>
    </row>
  </sheetData>
  <mergeCells count="1">
    <mergeCell ref="B2:J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AA56-18AC-4DC7-BC45-323D5E38D83F}">
  <dimension ref="A1:W55"/>
  <sheetViews>
    <sheetView topLeftCell="A10" workbookViewId="0">
      <selection activeCell="N26" sqref="N26"/>
    </sheetView>
  </sheetViews>
  <sheetFormatPr defaultRowHeight="14.4"/>
  <cols>
    <col min="5" max="6" width="11" bestFit="1" customWidth="1"/>
    <col min="8" max="8" width="11.5546875" bestFit="1" customWidth="1"/>
    <col min="9" max="9" width="11.33203125" bestFit="1" customWidth="1"/>
    <col min="10" max="10" width="10" bestFit="1" customWidth="1"/>
  </cols>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CODE(MID(Linear!I$12,A6,1))</f>
        <v>89</v>
      </c>
      <c r="C6">
        <f>MOD(B6,16)</f>
        <v>9</v>
      </c>
      <c r="D6">
        <f>MOD((B6-C6)/16,16)</f>
        <v>5</v>
      </c>
      <c r="E6">
        <f ca="1">INDIRECT("R"&amp;(C6+1)&amp;"C"&amp;(D6+7),0)</f>
        <v>439</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CODE(MID(Linear!I$12,A7,1))</f>
        <v>111</v>
      </c>
      <c r="C7">
        <f t="shared" ref="C7:C10" si="0">MOD(B7,16)</f>
        <v>15</v>
      </c>
      <c r="D7">
        <f t="shared" ref="D7:D10" si="1">MOD((B7-C7)/16,16)</f>
        <v>6</v>
      </c>
      <c r="E7">
        <f t="shared" ref="E7:E10" ca="1" si="2">INDIRECT("R"&amp;(C7+1)&amp;"C"&amp;(D7+7),0)</f>
        <v>839</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CODE(MID(Linear!I$12,A8,1))</f>
        <v>117</v>
      </c>
      <c r="C8">
        <f t="shared" si="0"/>
        <v>5</v>
      </c>
      <c r="D8">
        <f t="shared" si="1"/>
        <v>7</v>
      </c>
      <c r="E8">
        <f t="shared" ca="1" si="2"/>
        <v>211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CODE(MID(Linear!I$12,A9,1))</f>
        <v>114</v>
      </c>
      <c r="C9">
        <f t="shared" si="0"/>
        <v>2</v>
      </c>
      <c r="D9">
        <f t="shared" si="1"/>
        <v>7</v>
      </c>
      <c r="E9">
        <f t="shared" ca="1" si="2"/>
        <v>59</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CODE(MID(Linear!I$12,A10,1))</f>
        <v>32</v>
      </c>
      <c r="C10">
        <f t="shared" si="0"/>
        <v>0</v>
      </c>
      <c r="D10">
        <f t="shared" si="1"/>
        <v>2</v>
      </c>
      <c r="E10">
        <f t="shared" ca="1" si="2"/>
        <v>2</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41</v>
      </c>
      <c r="B11">
        <f ca="1">MOD(PRODUCT(E6:E10),F13)</f>
        <v>3778</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42</v>
      </c>
      <c r="B12">
        <f ca="1">MOD(B11*F11+F12,F13)</f>
        <v>5331</v>
      </c>
      <c r="C12">
        <f ca="1">MOD(B12,2)</f>
        <v>1</v>
      </c>
      <c r="D12">
        <f ca="1">B12/F$13</f>
        <v>0.162689208984375</v>
      </c>
      <c r="E12">
        <f ca="1">IF(D12&lt;0.25,0,IF(D12&lt;0.5,1,IF(D12&lt;0.75,3,4)))</f>
        <v>0</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43</v>
      </c>
      <c r="B13" s="14">
        <f t="shared" ref="B13:B33" ca="1" si="3">MOD(B12*F$11+F$12,F$13)</f>
        <v>22544</v>
      </c>
      <c r="C13">
        <f t="shared" ref="C13:C33" ca="1" si="4">IF(D13&lt;0.5,0,1)</f>
        <v>1</v>
      </c>
      <c r="D13">
        <f t="shared" ref="D13:D33" ca="1" si="5">B13/F$13</f>
        <v>0.68798828125</v>
      </c>
      <c r="E13">
        <f t="shared" ref="E13:E33" ca="1" si="6">IF(D13&lt;0.25,0,IF(D13&lt;0.5,1,IF(D13&lt;0.75,3,4)))</f>
        <v>3</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44</v>
      </c>
      <c r="B14" s="14">
        <f t="shared" ca="1" si="3"/>
        <v>3849</v>
      </c>
      <c r="C14">
        <f t="shared" ca="1" si="4"/>
        <v>0</v>
      </c>
      <c r="D14">
        <f t="shared" ca="1" si="5"/>
        <v>0.117462158203125</v>
      </c>
      <c r="E14">
        <f t="shared" ca="1" si="6"/>
        <v>0</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45</v>
      </c>
      <c r="B15" s="14">
        <f t="shared" ca="1" si="3"/>
        <v>21774</v>
      </c>
      <c r="C15">
        <f t="shared" ca="1" si="4"/>
        <v>1</v>
      </c>
      <c r="D15">
        <f t="shared" ca="1" si="5"/>
        <v>0.66448974609375</v>
      </c>
      <c r="E15">
        <f t="shared" ca="1" si="6"/>
        <v>3</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46</v>
      </c>
      <c r="B16" s="14">
        <f t="shared" ca="1" si="3"/>
        <v>11055</v>
      </c>
      <c r="C16">
        <f t="shared" ca="1" si="4"/>
        <v>0</v>
      </c>
      <c r="D16">
        <f t="shared" ca="1" si="5"/>
        <v>0.337371826171875</v>
      </c>
      <c r="E16">
        <f t="shared" ca="1" si="6"/>
        <v>1</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47</v>
      </c>
      <c r="B17" s="14">
        <f t="shared" ca="1" si="3"/>
        <v>25916</v>
      </c>
      <c r="C17">
        <f t="shared" ca="1" si="4"/>
        <v>1</v>
      </c>
      <c r="D17">
        <f t="shared" ca="1" si="5"/>
        <v>0.7908935546875</v>
      </c>
      <c r="E17">
        <f t="shared" ca="1" si="6"/>
        <v>4</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48</v>
      </c>
      <c r="B18" s="14">
        <f t="shared" ca="1" si="3"/>
        <v>4805</v>
      </c>
      <c r="C18">
        <f t="shared" ca="1" si="4"/>
        <v>0</v>
      </c>
      <c r="D18">
        <f t="shared" ca="1" si="5"/>
        <v>0.146636962890625</v>
      </c>
      <c r="E18">
        <f t="shared" ca="1" si="6"/>
        <v>0</v>
      </c>
    </row>
    <row r="19" spans="1:23">
      <c r="A19" t="s">
        <v>49</v>
      </c>
      <c r="B19" s="14">
        <f t="shared" ca="1" si="3"/>
        <v>13338</v>
      </c>
      <c r="C19">
        <f t="shared" ca="1" si="4"/>
        <v>0</v>
      </c>
      <c r="D19">
        <f t="shared" ca="1" si="5"/>
        <v>0.40704345703125</v>
      </c>
      <c r="E19">
        <f t="shared" ca="1" si="6"/>
        <v>1</v>
      </c>
      <c r="H19" s="15">
        <f ca="1">1+E17</f>
        <v>5</v>
      </c>
      <c r="I19" s="1" t="str">
        <f ca="1">IF(H21=1,IF(H22=1,"-"&amp;H19&amp;"x - "&amp;H20,"-"&amp;H19&amp;"x + "&amp;H20),IF(H22=1,H19&amp;"x - "&amp;H20,H19&amp;"x + "&amp;H20))</f>
        <v>5x + 2</v>
      </c>
      <c r="J19" s="1">
        <f ca="1">IF(H21=1,-H19,H19)</f>
        <v>5</v>
      </c>
      <c r="K19" s="1" t="s">
        <v>50</v>
      </c>
    </row>
    <row r="20" spans="1:23">
      <c r="A20" t="s">
        <v>51</v>
      </c>
      <c r="B20" s="14">
        <f t="shared" ca="1" si="3"/>
        <v>19275</v>
      </c>
      <c r="C20">
        <f t="shared" ca="1" si="4"/>
        <v>1</v>
      </c>
      <c r="D20">
        <f t="shared" ca="1" si="5"/>
        <v>0.588226318359375</v>
      </c>
      <c r="E20">
        <f t="shared" ca="1" si="6"/>
        <v>3</v>
      </c>
      <c r="H20" s="15">
        <f ca="1">E19+1+E18</f>
        <v>2</v>
      </c>
      <c r="I20" s="1"/>
      <c r="J20" s="1">
        <f ca="1">IF(H22=1,-H20,H20)</f>
        <v>2</v>
      </c>
      <c r="K20" s="1" t="s">
        <v>52</v>
      </c>
    </row>
    <row r="21" spans="1:23">
      <c r="A21" t="s">
        <v>53</v>
      </c>
      <c r="B21" s="14">
        <f t="shared" ca="1" si="3"/>
        <v>6440</v>
      </c>
      <c r="C21">
        <f t="shared" ca="1" si="4"/>
        <v>0</v>
      </c>
      <c r="D21">
        <f t="shared" ca="1" si="5"/>
        <v>0.196533203125</v>
      </c>
      <c r="E21">
        <f t="shared" ca="1" si="6"/>
        <v>0</v>
      </c>
      <c r="G21" t="s">
        <v>54</v>
      </c>
      <c r="H21" s="15">
        <f ca="1">C18</f>
        <v>0</v>
      </c>
      <c r="I21" s="17" t="s">
        <v>94</v>
      </c>
      <c r="J21" s="1">
        <f ca="1">IF(H23=1,-(1+C15),1+C15)</f>
        <v>-2</v>
      </c>
      <c r="K21" s="1">
        <f ca="1">1+C16</f>
        <v>1</v>
      </c>
      <c r="L21" s="27" t="s">
        <v>95</v>
      </c>
    </row>
    <row r="22" spans="1:23">
      <c r="A22" t="s">
        <v>55</v>
      </c>
      <c r="B22" s="14">
        <f t="shared" ca="1" si="3"/>
        <v>5697</v>
      </c>
      <c r="C22">
        <f t="shared" ca="1" si="4"/>
        <v>0</v>
      </c>
      <c r="D22">
        <f t="shared" ca="1" si="5"/>
        <v>0.173858642578125</v>
      </c>
      <c r="E22">
        <f t="shared" ca="1" si="6"/>
        <v>0</v>
      </c>
      <c r="G22" t="s">
        <v>56</v>
      </c>
      <c r="H22" s="15">
        <f ca="1">C19</f>
        <v>0</v>
      </c>
      <c r="M22" s="14"/>
    </row>
    <row r="23" spans="1:23">
      <c r="A23" t="s">
        <v>57</v>
      </c>
      <c r="B23" s="14">
        <f t="shared" ca="1" si="3"/>
        <v>30694</v>
      </c>
      <c r="C23">
        <f t="shared" ca="1" si="4"/>
        <v>1</v>
      </c>
      <c r="D23">
        <f t="shared" ca="1" si="5"/>
        <v>0.93670654296875</v>
      </c>
      <c r="E23">
        <f t="shared" ca="1" si="6"/>
        <v>4</v>
      </c>
      <c r="G23" t="s">
        <v>92</v>
      </c>
      <c r="H23" s="15">
        <f ca="1">C20</f>
        <v>1</v>
      </c>
      <c r="I23" s="1" t="s">
        <v>14</v>
      </c>
      <c r="J23" s="1" t="s">
        <v>58</v>
      </c>
      <c r="M23" s="14"/>
    </row>
    <row r="24" spans="1:23">
      <c r="A24" t="s">
        <v>59</v>
      </c>
      <c r="B24" s="14">
        <f t="shared" ca="1" si="3"/>
        <v>20775</v>
      </c>
      <c r="C24">
        <f t="shared" ca="1" si="4"/>
        <v>1</v>
      </c>
      <c r="D24">
        <f t="shared" ca="1" si="5"/>
        <v>0.634002685546875</v>
      </c>
      <c r="E24">
        <f t="shared" ca="1" si="6"/>
        <v>3</v>
      </c>
      <c r="H24" s="18"/>
      <c r="I24" s="1">
        <f ca="1">E16+-5</f>
        <v>-4</v>
      </c>
      <c r="J24" s="1">
        <f ca="1">J$19*I24+J$20</f>
        <v>-18</v>
      </c>
      <c r="K24" s="1" t="str">
        <f ca="1">"("&amp;I24&amp;", "&amp;J24&amp;")"</f>
        <v>(-4, -18)</v>
      </c>
      <c r="M24" s="14">
        <f ca="1">J24+J21</f>
        <v>-20</v>
      </c>
    </row>
    <row r="25" spans="1:23">
      <c r="A25" t="s">
        <v>60</v>
      </c>
      <c r="B25" s="14">
        <f t="shared" ca="1" si="3"/>
        <v>8148</v>
      </c>
      <c r="C25">
        <f t="shared" ca="1" si="4"/>
        <v>0</v>
      </c>
      <c r="D25">
        <f t="shared" ca="1" si="5"/>
        <v>0.2486572265625</v>
      </c>
      <c r="E25">
        <f t="shared" ca="1" si="6"/>
        <v>0</v>
      </c>
      <c r="H25" s="15"/>
      <c r="I25" s="1">
        <f ca="1">I24+K21</f>
        <v>-3</v>
      </c>
      <c r="J25" s="1">
        <f ca="1">IF(M26,J24+J21+1,J24+J21)</f>
        <v>-20</v>
      </c>
      <c r="K25" s="1" t="str">
        <f ca="1">"("&amp;I25&amp;", "&amp;J25&amp;")"</f>
        <v>(-3, -20)</v>
      </c>
      <c r="M25" s="14">
        <f ca="1">(M24-J24)/(I25-I24)</f>
        <v>-2</v>
      </c>
      <c r="N25">
        <f ca="1">IFERROR(J24-M24/I24-I25,M24+1)</f>
        <v>-20</v>
      </c>
      <c r="O25">
        <f ca="1">IFERROR(M24-J24/I25-I24,M24+1)</f>
        <v>-22</v>
      </c>
    </row>
    <row r="26" spans="1:23">
      <c r="A26" t="s">
        <v>61</v>
      </c>
      <c r="B26" s="14">
        <f t="shared" ca="1" si="3"/>
        <v>21885</v>
      </c>
      <c r="C26">
        <f t="shared" ca="1" si="4"/>
        <v>1</v>
      </c>
      <c r="D26">
        <f t="shared" ca="1" si="5"/>
        <v>0.667877197265625</v>
      </c>
      <c r="E26">
        <f t="shared" ca="1" si="6"/>
        <v>3</v>
      </c>
      <c r="H26" s="15"/>
      <c r="M26" s="14" t="b">
        <f ca="1">OR(M25=N25,M25=O25)</f>
        <v>0</v>
      </c>
    </row>
    <row r="27" spans="1:23">
      <c r="A27" t="s">
        <v>62</v>
      </c>
      <c r="B27" s="14">
        <f t="shared" ca="1" si="3"/>
        <v>11378</v>
      </c>
      <c r="C27">
        <f t="shared" ca="1" si="4"/>
        <v>0</v>
      </c>
      <c r="D27">
        <f t="shared" ca="1" si="5"/>
        <v>0.34722900390625</v>
      </c>
      <c r="E27">
        <f t="shared" ca="1" si="6"/>
        <v>1</v>
      </c>
      <c r="L27" s="14"/>
    </row>
    <row r="28" spans="1:23">
      <c r="A28" t="s">
        <v>63</v>
      </c>
      <c r="B28" s="14">
        <f t="shared" ca="1" si="3"/>
        <v>22723</v>
      </c>
      <c r="C28">
        <f t="shared" ca="1" si="4"/>
        <v>1</v>
      </c>
      <c r="D28">
        <f t="shared" ca="1" si="5"/>
        <v>0.693450927734375</v>
      </c>
      <c r="E28">
        <f t="shared" ca="1" si="6"/>
        <v>3</v>
      </c>
      <c r="M28" s="14"/>
    </row>
    <row r="29" spans="1:23">
      <c r="A29" t="s">
        <v>64</v>
      </c>
      <c r="B29" s="14">
        <f t="shared" ca="1" si="3"/>
        <v>25920</v>
      </c>
      <c r="C29">
        <f t="shared" ca="1" si="4"/>
        <v>1</v>
      </c>
      <c r="D29">
        <f t="shared" ca="1" si="5"/>
        <v>0.791015625</v>
      </c>
      <c r="E29">
        <f t="shared" ca="1" si="6"/>
        <v>4</v>
      </c>
      <c r="M29" s="14"/>
    </row>
    <row r="30" spans="1:23">
      <c r="A30" t="s">
        <v>65</v>
      </c>
      <c r="B30" s="14">
        <f t="shared" ca="1" si="3"/>
        <v>19577</v>
      </c>
      <c r="C30">
        <f t="shared" ca="1" si="4"/>
        <v>1</v>
      </c>
      <c r="D30">
        <f t="shared" ca="1" si="5"/>
        <v>0.597442626953125</v>
      </c>
      <c r="E30">
        <f t="shared" ca="1" si="6"/>
        <v>3</v>
      </c>
      <c r="M30" s="14"/>
    </row>
    <row r="31" spans="1:23">
      <c r="A31" t="s">
        <v>66</v>
      </c>
      <c r="B31" s="14">
        <f t="shared" ca="1" si="3"/>
        <v>7614</v>
      </c>
      <c r="C31">
        <f t="shared" ca="1" si="4"/>
        <v>0</v>
      </c>
      <c r="D31">
        <f t="shared" ca="1" si="5"/>
        <v>0.23236083984375</v>
      </c>
      <c r="E31">
        <f t="shared" ca="1" si="6"/>
        <v>0</v>
      </c>
      <c r="M31" s="14"/>
    </row>
    <row r="32" spans="1:23">
      <c r="A32" t="s">
        <v>67</v>
      </c>
      <c r="B32" s="14">
        <f t="shared" ca="1" si="3"/>
        <v>15903</v>
      </c>
      <c r="C32">
        <f t="shared" ca="1" si="4"/>
        <v>0</v>
      </c>
      <c r="D32">
        <f t="shared" ca="1" si="5"/>
        <v>0.485321044921875</v>
      </c>
      <c r="E32">
        <f t="shared" ca="1" si="6"/>
        <v>1</v>
      </c>
      <c r="M32" s="14"/>
    </row>
    <row r="33" spans="1:13">
      <c r="A33" t="s">
        <v>68</v>
      </c>
      <c r="B33" s="14">
        <f t="shared" ca="1" si="3"/>
        <v>5484</v>
      </c>
      <c r="C33">
        <f t="shared" ca="1" si="4"/>
        <v>0</v>
      </c>
      <c r="D33">
        <f t="shared" ca="1" si="5"/>
        <v>0.1673583984375</v>
      </c>
      <c r="E33">
        <f t="shared" ca="1" si="6"/>
        <v>0</v>
      </c>
      <c r="M33" s="14"/>
    </row>
    <row r="34" spans="1:13">
      <c r="A34" t="s">
        <v>69</v>
      </c>
      <c r="B34" s="14">
        <f t="shared" ref="B34:B55" ca="1" si="7">MOD(B33*F$11+F$12,F$13)</f>
        <v>14133</v>
      </c>
      <c r="C34">
        <f t="shared" ref="C34:C55" ca="1" si="8">IF(D34&lt;0.5,0,1)</f>
        <v>0</v>
      </c>
      <c r="D34">
        <f t="shared" ref="D34:D55" ca="1" si="9">B34/F$13</f>
        <v>0.431304931640625</v>
      </c>
      <c r="E34">
        <f t="shared" ref="E34:E55" ca="1" si="10">IF(D34&lt;0.25,0,IF(D34&lt;0.5,1,IF(D34&lt;0.75,3,4)))</f>
        <v>1</v>
      </c>
      <c r="M34" s="14"/>
    </row>
    <row r="35" spans="1:13">
      <c r="A35" t="s">
        <v>70</v>
      </c>
      <c r="B35" s="14">
        <f t="shared" ca="1" si="7"/>
        <v>22474</v>
      </c>
      <c r="C35">
        <f t="shared" ca="1" si="8"/>
        <v>1</v>
      </c>
      <c r="D35">
        <f t="shared" ca="1" si="9"/>
        <v>0.68585205078125</v>
      </c>
      <c r="E35">
        <f t="shared" ca="1" si="10"/>
        <v>3</v>
      </c>
      <c r="M35" s="14"/>
    </row>
    <row r="36" spans="1:13">
      <c r="A36" t="s">
        <v>71</v>
      </c>
      <c r="B36" s="14">
        <f t="shared" ca="1" si="7"/>
        <v>7483</v>
      </c>
      <c r="C36">
        <f t="shared" ca="1" si="8"/>
        <v>0</v>
      </c>
      <c r="D36">
        <f t="shared" ca="1" si="9"/>
        <v>0.228363037109375</v>
      </c>
      <c r="E36">
        <f t="shared" ca="1" si="10"/>
        <v>0</v>
      </c>
      <c r="M36" s="14"/>
    </row>
    <row r="37" spans="1:13">
      <c r="A37" t="s">
        <v>72</v>
      </c>
      <c r="B37" s="14">
        <f t="shared" ca="1" si="7"/>
        <v>7256</v>
      </c>
      <c r="C37">
        <f t="shared" ca="1" si="8"/>
        <v>0</v>
      </c>
      <c r="D37">
        <f t="shared" ca="1" si="9"/>
        <v>0.221435546875</v>
      </c>
      <c r="E37">
        <f t="shared" ca="1" si="10"/>
        <v>0</v>
      </c>
      <c r="M37" s="14"/>
    </row>
    <row r="38" spans="1:13">
      <c r="A38" t="s">
        <v>73</v>
      </c>
      <c r="B38" s="14">
        <f t="shared" ca="1" si="7"/>
        <v>4529</v>
      </c>
      <c r="C38">
        <f t="shared" ca="1" si="8"/>
        <v>0</v>
      </c>
      <c r="D38">
        <f t="shared" ca="1" si="9"/>
        <v>0.138214111328125</v>
      </c>
      <c r="E38">
        <f t="shared" ca="1" si="10"/>
        <v>0</v>
      </c>
      <c r="M38" s="14"/>
    </row>
    <row r="39" spans="1:13">
      <c r="A39" t="s">
        <v>74</v>
      </c>
      <c r="B39" s="14">
        <f t="shared" ca="1" si="7"/>
        <v>9878</v>
      </c>
      <c r="C39">
        <f t="shared" ca="1" si="8"/>
        <v>0</v>
      </c>
      <c r="D39">
        <f t="shared" ca="1" si="9"/>
        <v>0.30145263671875</v>
      </c>
      <c r="E39">
        <f t="shared" ca="1" si="10"/>
        <v>1</v>
      </c>
      <c r="M39" s="14"/>
    </row>
    <row r="40" spans="1:13">
      <c r="A40" t="s">
        <v>75</v>
      </c>
      <c r="B40" s="14">
        <f t="shared" ca="1" si="7"/>
        <v>21015</v>
      </c>
      <c r="C40">
        <f t="shared" ca="1" si="8"/>
        <v>1</v>
      </c>
      <c r="D40">
        <f t="shared" ca="1" si="9"/>
        <v>0.641326904296875</v>
      </c>
      <c r="E40">
        <f t="shared" ca="1" si="10"/>
        <v>3</v>
      </c>
      <c r="M40" s="14"/>
    </row>
    <row r="41" spans="1:13">
      <c r="A41" t="s">
        <v>76</v>
      </c>
      <c r="B41" s="14">
        <f t="shared" ca="1" si="7"/>
        <v>9732</v>
      </c>
      <c r="C41">
        <f t="shared" ca="1" si="8"/>
        <v>0</v>
      </c>
      <c r="D41">
        <f t="shared" ca="1" si="9"/>
        <v>0.2969970703125</v>
      </c>
      <c r="E41">
        <f t="shared" ca="1" si="10"/>
        <v>1</v>
      </c>
      <c r="M41" s="14"/>
    </row>
    <row r="42" spans="1:13">
      <c r="A42" t="s">
        <v>77</v>
      </c>
      <c r="B42" s="14">
        <f t="shared" ca="1" si="7"/>
        <v>6125</v>
      </c>
      <c r="C42">
        <f t="shared" ca="1" si="8"/>
        <v>0</v>
      </c>
      <c r="D42">
        <f t="shared" ca="1" si="9"/>
        <v>0.186920166015625</v>
      </c>
      <c r="E42">
        <f t="shared" ca="1" si="10"/>
        <v>0</v>
      </c>
      <c r="M42" s="14"/>
    </row>
    <row r="43" spans="1:13">
      <c r="A43" t="s">
        <v>78</v>
      </c>
      <c r="B43" s="14">
        <f t="shared" ca="1" si="7"/>
        <v>5666</v>
      </c>
      <c r="C43">
        <f t="shared" ca="1" si="8"/>
        <v>0</v>
      </c>
      <c r="D43">
        <f t="shared" ca="1" si="9"/>
        <v>0.17291259765625</v>
      </c>
      <c r="E43">
        <f t="shared" ca="1" si="10"/>
        <v>0</v>
      </c>
      <c r="M43" s="14"/>
    </row>
    <row r="44" spans="1:13">
      <c r="A44" t="s">
        <v>79</v>
      </c>
      <c r="B44" s="14">
        <f t="shared" ca="1" si="7"/>
        <v>30899</v>
      </c>
      <c r="C44">
        <f t="shared" ca="1" si="8"/>
        <v>1</v>
      </c>
      <c r="D44">
        <f t="shared" ca="1" si="9"/>
        <v>0.942962646484375</v>
      </c>
      <c r="E44">
        <f t="shared" ca="1" si="10"/>
        <v>4</v>
      </c>
      <c r="M44" s="14"/>
    </row>
    <row r="45" spans="1:13">
      <c r="A45" t="s">
        <v>80</v>
      </c>
      <c r="B45" s="14">
        <f t="shared" ca="1" si="7"/>
        <v>7792</v>
      </c>
      <c r="C45">
        <f t="shared" ca="1" si="8"/>
        <v>0</v>
      </c>
      <c r="D45">
        <f t="shared" ca="1" si="9"/>
        <v>0.23779296875</v>
      </c>
      <c r="E45">
        <f t="shared" ca="1" si="10"/>
        <v>0</v>
      </c>
      <c r="M45" s="14"/>
    </row>
    <row r="46" spans="1:13">
      <c r="A46" t="s">
        <v>81</v>
      </c>
      <c r="B46" s="14">
        <f t="shared" ca="1" si="7"/>
        <v>17897</v>
      </c>
      <c r="C46">
        <f t="shared" ca="1" si="8"/>
        <v>1</v>
      </c>
      <c r="D46">
        <f t="shared" ca="1" si="9"/>
        <v>0.546173095703125</v>
      </c>
      <c r="E46">
        <f t="shared" ca="1" si="10"/>
        <v>3</v>
      </c>
    </row>
    <row r="47" spans="1:13">
      <c r="A47" t="s">
        <v>82</v>
      </c>
      <c r="B47" s="14">
        <f t="shared" ca="1" si="7"/>
        <v>29294</v>
      </c>
      <c r="C47">
        <f t="shared" ca="1" si="8"/>
        <v>1</v>
      </c>
      <c r="D47">
        <f t="shared" ca="1" si="9"/>
        <v>0.89398193359375</v>
      </c>
      <c r="E47">
        <f t="shared" ca="1" si="10"/>
        <v>4</v>
      </c>
    </row>
    <row r="48" spans="1:13">
      <c r="A48" t="s">
        <v>83</v>
      </c>
      <c r="B48" s="14">
        <f t="shared" ca="1" si="7"/>
        <v>27919</v>
      </c>
      <c r="C48">
        <f t="shared" ca="1" si="8"/>
        <v>1</v>
      </c>
      <c r="D48">
        <f t="shared" ca="1" si="9"/>
        <v>0.852020263671875</v>
      </c>
      <c r="E48">
        <f t="shared" ca="1" si="10"/>
        <v>4</v>
      </c>
    </row>
    <row r="49" spans="1:5">
      <c r="A49" t="s">
        <v>84</v>
      </c>
      <c r="B49" s="14">
        <f t="shared" ca="1" si="7"/>
        <v>12700</v>
      </c>
      <c r="C49">
        <f t="shared" ca="1" si="8"/>
        <v>0</v>
      </c>
      <c r="D49">
        <f t="shared" ca="1" si="9"/>
        <v>0.3875732421875</v>
      </c>
      <c r="E49">
        <f t="shared" ca="1" si="10"/>
        <v>1</v>
      </c>
    </row>
    <row r="50" spans="1:5">
      <c r="A50" t="s">
        <v>85</v>
      </c>
      <c r="B50" s="14">
        <f t="shared" ca="1" si="7"/>
        <v>22437</v>
      </c>
      <c r="C50">
        <f t="shared" ca="1" si="8"/>
        <v>1</v>
      </c>
      <c r="D50">
        <f t="shared" ca="1" si="9"/>
        <v>0.684722900390625</v>
      </c>
      <c r="E50">
        <f t="shared" ca="1" si="10"/>
        <v>3</v>
      </c>
    </row>
    <row r="51" spans="1:5">
      <c r="A51" t="s">
        <v>86</v>
      </c>
      <c r="B51" s="14">
        <f t="shared" ca="1" si="7"/>
        <v>18298</v>
      </c>
      <c r="C51">
        <f t="shared" ca="1" si="8"/>
        <v>1</v>
      </c>
      <c r="D51">
        <f t="shared" ca="1" si="9"/>
        <v>0.55841064453125</v>
      </c>
      <c r="E51">
        <f t="shared" ca="1" si="10"/>
        <v>3</v>
      </c>
    </row>
    <row r="52" spans="1:5">
      <c r="A52" t="s">
        <v>87</v>
      </c>
      <c r="B52" s="14">
        <f t="shared" ca="1" si="7"/>
        <v>19243</v>
      </c>
      <c r="C52">
        <f t="shared" ca="1" si="8"/>
        <v>1</v>
      </c>
      <c r="D52">
        <f t="shared" ca="1" si="9"/>
        <v>0.587249755859375</v>
      </c>
      <c r="E52">
        <f t="shared" ca="1" si="10"/>
        <v>3</v>
      </c>
    </row>
    <row r="53" spans="1:5">
      <c r="A53" t="s">
        <v>88</v>
      </c>
      <c r="B53" s="14">
        <f t="shared" ca="1" si="7"/>
        <v>19336</v>
      </c>
      <c r="C53">
        <f t="shared" ca="1" si="8"/>
        <v>1</v>
      </c>
      <c r="D53">
        <f t="shared" ca="1" si="9"/>
        <v>0.590087890625</v>
      </c>
      <c r="E53">
        <f t="shared" ca="1" si="10"/>
        <v>3</v>
      </c>
    </row>
    <row r="54" spans="1:5">
      <c r="A54" t="s">
        <v>89</v>
      </c>
      <c r="B54" s="14">
        <f t="shared" ca="1" si="7"/>
        <v>18721</v>
      </c>
      <c r="C54">
        <f t="shared" ca="1" si="8"/>
        <v>1</v>
      </c>
      <c r="D54">
        <f t="shared" ca="1" si="9"/>
        <v>0.571319580078125</v>
      </c>
      <c r="E54">
        <f t="shared" ca="1" si="10"/>
        <v>3</v>
      </c>
    </row>
    <row r="55" spans="1:5">
      <c r="A55" t="s">
        <v>90</v>
      </c>
      <c r="B55" s="14">
        <f t="shared" ca="1" si="7"/>
        <v>24902</v>
      </c>
      <c r="C55">
        <f t="shared" ca="1" si="8"/>
        <v>1</v>
      </c>
      <c r="D55">
        <f t="shared" ca="1" si="9"/>
        <v>0.75994873046875</v>
      </c>
      <c r="E55">
        <f t="shared" ca="1" si="10"/>
        <v>4</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2B2D-0544-4AF4-8F48-1115B33F73A4}">
  <dimension ref="B1:F5"/>
  <sheetViews>
    <sheetView workbookViewId="0">
      <selection activeCell="F10" sqref="F10"/>
    </sheetView>
  </sheetViews>
  <sheetFormatPr defaultRowHeight="14.4"/>
  <cols>
    <col min="1" max="1" width="4" customWidth="1"/>
  </cols>
  <sheetData>
    <row r="1" spans="2:6" ht="15" thickBot="1"/>
    <row r="2" spans="2:6">
      <c r="B2" s="48" t="s">
        <v>91</v>
      </c>
      <c r="C2" s="49"/>
      <c r="D2" s="49"/>
      <c r="E2" s="49"/>
      <c r="F2" s="50"/>
    </row>
    <row r="3" spans="2:6">
      <c r="B3" s="51"/>
      <c r="C3" s="52"/>
      <c r="D3" s="52"/>
      <c r="E3" s="52"/>
      <c r="F3" s="53"/>
    </row>
    <row r="4" spans="2:6">
      <c r="B4" s="51"/>
      <c r="C4" s="52"/>
      <c r="D4" s="52"/>
      <c r="E4" s="52"/>
      <c r="F4" s="53"/>
    </row>
    <row r="5" spans="2:6" ht="15" thickBot="1">
      <c r="B5" s="54"/>
      <c r="C5" s="55"/>
      <c r="D5" s="55"/>
      <c r="E5" s="55"/>
      <c r="F5" s="56"/>
    </row>
  </sheetData>
  <mergeCells count="1">
    <mergeCell ref="B2: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4b388b19620a428294a52af29a503226">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f4390916c591314b5f0446846c34d485"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A8C9D0-8D8D-4C7E-9778-F21359D8AAF6}"/>
</file>

<file path=customXml/itemProps2.xml><?xml version="1.0" encoding="utf-8"?>
<ds:datastoreItem xmlns:ds="http://schemas.openxmlformats.org/officeDocument/2006/customXml" ds:itemID="{52ECABA3-4604-4DCC-83DE-5C56B2BBA14F}">
  <ds:schemaRefs>
    <ds:schemaRef ds:uri="http://schemas.microsoft.com/office/2006/metadata/properties"/>
    <ds:schemaRef ds:uri="http://schemas.microsoft.com/office/infopath/2007/PartnerControls"/>
    <ds:schemaRef ds:uri="cca9fd2d-ef84-45c9-8063-8f4bd4c29606"/>
  </ds:schemaRefs>
</ds:datastoreItem>
</file>

<file path=customXml/itemProps3.xml><?xml version="1.0" encoding="utf-8"?>
<ds:datastoreItem xmlns:ds="http://schemas.openxmlformats.org/officeDocument/2006/customXml" ds:itemID="{F4B4BAB4-A788-4170-81D5-A8791962C6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Goals and Instructions</vt:lpstr>
      <vt:lpstr>Linear</vt:lpstr>
      <vt:lpstr>GradeSheet</vt:lpstr>
      <vt:lpstr>Sheet3</vt:lpstr>
      <vt:lpstr>Random</vt:lpstr>
      <vt:lpstr>Sheet2</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2023-07-20T23:59:47Z</dcterms:created>
  <dcterms:modified xsi:type="dcterms:W3CDTF">2023-11-17T04:11:47Z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