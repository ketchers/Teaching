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1 DQ 1/"/>
    </mc:Choice>
  </mc:AlternateContent>
  <xr:revisionPtr revIDLastSave="172" documentId="8_{197DFB2F-3D6E-4006-9337-6C654C7D47B2}" xr6:coauthVersionLast="47" xr6:coauthVersionMax="47" xr10:uidLastSave="{06D602D3-C1FE-44AC-B081-604E055F858C}"/>
  <bookViews>
    <workbookView xWindow="-120" yWindow="-120" windowWidth="29040" windowHeight="15720" xr2:uid="{4FCF7FA6-22BB-4545-AB27-D5B8AACA448D}"/>
  </bookViews>
  <sheets>
    <sheet name="Goals and Instructions" sheetId="4" r:id="rId1"/>
    <sheet name="Basic Excel Formulas" sheetId="1" r:id="rId2"/>
    <sheet name="Users" sheetId="5" state="hidden" r:id="rId3"/>
    <sheet name="Solutions" sheetId="2" state="hidden" r:id="rId4"/>
    <sheet name="Sheet2" sheetId="3" state="hidden" r:id="rId5"/>
  </sheets>
  <definedNames>
    <definedName name="CHECKDIV">_xlfn.LAMBDA(_xlpm.x,AND(_xlpm.x &lt;&gt; "", IFERROR(AND(     SUBSTITUTE(_xlfn.FORMULATEXT(_xlpm.x), " ","") &lt;&gt; "=B8/C8",  SUBSTITUTE(_xlfn.FORMULATEXT(_xlpm.x), " ","") &lt;&gt; "=SUM(B8/C8)",  SUBSTITUTE(_xlfn.FORMULATEXT(_xlpm.x), " ","") &lt;&gt; "=(B8/C8)"), TRUE)))</definedName>
    <definedName name="CHECKMULT">_xlfn.LAMBDA(_xlpm.x,AND(_xlpm.x &lt;&gt; "", IFERROR(AND(  SUBSTITUTE(_xlfn.FORMULATEXT(_xlpm.x), " ","") &lt;&gt; "=B8*C8",       SUBSTITUTE(_xlfn.FORMULATEXT(_xlpm.x), " ","") &lt;&gt; "=C8*B8",       SUBSTITUTE(_xlfn.FORMULATEXT(_xlpm.x), " ","") &lt;&gt; "=SUM(C8*B8)",       SUBSTITUTE(_xlfn.FORMULATEXT(_xlpm.x), " ","") &lt;&gt; "=SUM(B8*C8)",       SUBSTITUTE(_xlfn.FORMULATEXT(_xlpm.x), " ","") &lt;&gt; "=(C8*B8)",       SUBSTITUTE(_xlfn.FORMULATEXT(_xlpm.x), " ","") &lt;&gt; "=(B8*C8)",       SUBSTITUTE(_xlfn.FORMULATEXT(_xlpm.x), " ","") &lt;&gt; "=PRODUCT(C8,B8)",       SUBSTITUTE(_xlfn.FORMULATEXT(_xlpm.x), " ","") &lt;&gt; "=PRODUCT(B8,C8)"), TRUE)))</definedName>
    <definedName name="CHECKPOW">_xlfn.LAMBDA(_xlpm.x,AND(_xlpm.x &lt;&gt; "", IFERROR(AND(     SUBSTITUTE(_xlfn.FORMULATEXT(_xlpm.x), " ","") &lt;&gt; "=B8^C8",  SUBSTITUTE(_xlfn.FORMULATEXT(_xlpm.x), " ","") &lt;&gt; "=SUM(B8^C8)",  SUBSTITUTE(_xlfn.FORMULATEXT(_xlpm.x), " ","") &lt;&gt; "=(B8^B8)"), TRUE)))</definedName>
    <definedName name="CHECKRANGE">_xlfn.LAMBDA(_xlpm.x,AND(_xlpm.x &lt;&gt; "", IFERROR(AND(     SUBSTITUTE(_xlfn.FORMULATEXT(_xlpm.x), " ","") &lt;&gt; "=AVERAGE(E21:E28)",  SUBSTITUTE(_xlfn.FORMULATEXT(_xlpm.x), " ","") &lt;&gt; "=PRODUCT(E21:E28)",  SUBSTITUTE(_xlfn.FORMULATEXT(_xlpm.x), " ","") &lt;&gt; "=SUM(E21:E28)"), TRUE)))</definedName>
    <definedName name="CHECKSUB">_xlfn.LAMBDA(_xlpm.x,AND(_xlpm.x &lt;&gt; "", IFERROR(AND(     SUBSTITUTE(_xlfn.FORMULATEXT(_xlpm.x), " ","") &lt;&gt; "=B8-C8",  SUBSTITUTE(_xlfn.FORMULATEXT(_xlpm.x), " ","") &lt;&gt; "=SUM(B8-C8)",  SUBSTITUTE(_xlfn.FORMULATEXT(_xlpm.x), " ","") &lt;&gt; "=(B8-C8)"), TRUE)))</definedName>
    <definedName name="CHECKSUM">_xlfn.LAMBDA(_xlpm.x,AND(_xlpm.x &lt;&gt; "", IFERROR(AND(     SUBSTITUTE(_xlfn.FORMULATEXT(_xlpm.x), " ","") &lt;&gt; "=B8+C8",  SUBSTITUTE(_xlfn.FORMULATEXT(_xlpm.x), " ","") &lt;&gt; "=C8+B8",  SUBSTITUTE(_xlfn.FORMULATEXT(_xlpm.x), " ","") &lt;&gt; "=SUM(C8,B8)",  SUBSTITUTE(_xlfn.FORMULATEXT(_xlpm.x), " ","") &lt;&gt; "=SUM(B8,C8)",  SUBSTITUTE(_xlfn.FORMULATEXT(_xlpm.x), " ","") &lt;&gt; "=(C8+B8)",  SUBSTITUTE(_xlfn.FORMULATEXT(_xlpm.x), " ","") &lt;&gt; "=(B8+C8)"), TRUE)))</definedName>
    <definedName name="checksys">_xlfn.LAMBDA(IFERROR(IF(ISURL("http://g.co"), "Google Sheets"),IFERROR(IF(DUR2DAYS("1d")&gt;0, "Apple Numbers"),IF(ISERROR(INFO("directory")), "Excel Online", "Excel Desktop"))))</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a="1"/>
  <c r="I2" i="1" s="1"/>
  <c r="L1" i="1" s="1"/>
  <c r="H16" i="2"/>
  <c r="O2" i="2"/>
  <c r="N2" i="2" a="1"/>
  <c r="N2" i="2" s="1"/>
  <c r="H18" i="2"/>
  <c r="H17" i="2"/>
  <c r="F10" i="2"/>
  <c r="F9" i="2"/>
  <c r="F8" i="2"/>
  <c r="F7" i="2"/>
  <c r="F6" i="2"/>
  <c r="G10" i="2" a="1"/>
  <c r="G8" i="2" a="1"/>
  <c r="I17" i="2" a="1"/>
  <c r="H7" i="2" a="1"/>
  <c r="H6" i="2" a="1"/>
  <c r="H10" i="2" a="1"/>
  <c r="G9" i="2" a="1"/>
  <c r="I16" i="2" a="1"/>
  <c r="H8" i="2" a="1"/>
  <c r="G7" i="2" a="1"/>
  <c r="I18" i="2" a="1"/>
  <c r="H9" i="2" a="1"/>
  <c r="G6" i="2" a="1"/>
  <c r="I18" i="2" l="1"/>
  <c r="I17" i="2"/>
  <c r="I16" i="2"/>
  <c r="G9" i="2"/>
  <c r="G8" i="2"/>
  <c r="G7" i="2"/>
  <c r="G6" i="2"/>
  <c r="G10" i="2"/>
  <c r="H10" i="2"/>
  <c r="H9" i="2"/>
  <c r="H8" i="2"/>
  <c r="H7" i="2"/>
  <c r="H6" i="2"/>
  <c r="G11" i="2" l="1"/>
  <c r="F1" i="5" l="1"/>
  <c r="M1" i="5"/>
  <c r="A2" i="5"/>
  <c r="A3" i="5"/>
  <c r="A4" i="5"/>
  <c r="A5" i="5"/>
  <c r="A6" i="5"/>
  <c r="A7" i="5"/>
  <c r="A8" i="5"/>
  <c r="A9" i="5"/>
  <c r="A10" i="5"/>
  <c r="A11" i="5"/>
  <c r="A12" i="5"/>
  <c r="A13" i="5"/>
  <c r="A14" i="5"/>
  <c r="A15" i="5"/>
  <c r="A16" i="5"/>
  <c r="A17" i="5"/>
  <c r="A18" i="5"/>
  <c r="A19" i="5"/>
  <c r="A20" i="5"/>
  <c r="A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tc={70924595-1501-455D-AEAD-D19C623E0B48}</author>
    <author>tc={4D01F969-C016-49F1-B66A-E0F61BFB82DD}</author>
  </authors>
  <commentList>
    <comment ref="C2" authorId="0" shapeId="0" xr:uid="{70924595-1501-455D-AEAD-D19C623E0B48}">
      <text>
        <t>[Threaded comment]
Your version of Excel allows you to read this threaded comment; however, any edits to it will get removed if the file is opened in a newer version of Excel. Learn more: https://go.microsoft.com/fwlink/?linkid=870924
Comment:
    https://www.loom.com/share/7afe56992a4045b6ba3c4ce50c5dc624</t>
      </text>
    </comment>
    <comment ref="C3" authorId="1" shapeId="0" xr:uid="{4D01F969-C016-49F1-B66A-E0F61BFB82DD}">
      <text>
        <t>[Threaded comment]
Your version of Excel allows you to read this threaded comment; however, any edits to it will get removed if the file is opened in a newer version of Excel. Learn more: https://go.microsoft.com/fwlink/?linkid=870924
Comment:
    https://www.loom.com/share/2b55793d438c4e3ea60bd6fe69b70766?sid=ea386e71-e314-48ad-9076-167dbf41817d</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<sst xmlns="http://schemas.openxmlformats.org/spreadsheetml/2006/main" count="124" uniqueCount="84">
  <si>
    <t>Excel skills to be learned</t>
  </si>
  <si>
    <r>
      <rPr>
        <b/>
        <sz val="11"/>
        <color theme="1"/>
        <rFont val="Calibri"/>
        <family val="2"/>
        <scheme val="minor"/>
      </rPr>
      <t>Instructions</t>
    </r>
    <r>
      <rPr>
        <sz val="11"/>
        <color theme="1"/>
        <rFont val="Calibri"/>
        <family val="2"/>
        <scheme val="minor"/>
      </rPr>
      <t>: Open the tab labeled "Basic Excel Formulas" and complete the tasks indicated there. Start by entering your name where indicated. Pay attention to the legend and note that the sheet is self-checking.</t>
    </r>
  </si>
  <si>
    <t>Upon completing the sheet, you should have an understanding of:</t>
  </si>
  <si>
    <t>1. Using Excel formulas for basic computations</t>
  </si>
  <si>
    <t>2. Simple formatting of numbers in Excel</t>
  </si>
  <si>
    <t>3. Basic usage of a few operations that act on a range of cells</t>
  </si>
  <si>
    <t>4. Intro to basic Excel error messages</t>
  </si>
  <si>
    <t>Math skills covered in this DQ</t>
  </si>
  <si>
    <t>This first Excel template focusses on very simple arithmetic concepts and does not introduce any new mathematics.</t>
  </si>
  <si>
    <t>Warning! You are required to use Excel as provided by GCU as part of Office 365 in this. Work completed in Numbers or Google Sheets, even if correct and exported to Excel, will not be accepted, and you will be required to redo the work. Please make sure your system is set up correctly and that you are logged into Excel or office.com with your GCU credentials. This sheet makes some basic tests to try to guarantee that Excel Online or Excel Desktop is in use. The sheet will not work if this is not the case.</t>
  </si>
  <si>
    <t>Video on Required Technology</t>
  </si>
  <si>
    <t>The relevant part is at about 3:10</t>
  </si>
  <si>
    <t>set A2="*"</t>
  </si>
  <si>
    <t>Video Instructions</t>
  </si>
  <si>
    <t>Enter you name here ⇒</t>
  </si>
  <si>
    <t>Video on Formatting</t>
  </si>
  <si>
    <t>Build a little calculator using Excel formulas.</t>
  </si>
  <si>
    <t>Inputs</t>
  </si>
  <si>
    <t>Operation</t>
  </si>
  <si>
    <t>Excel Equiv</t>
  </si>
  <si>
    <t>Result</t>
  </si>
  <si>
    <t>Enter the indicated Excel formula in F8:F12.</t>
  </si>
  <si>
    <t>Legend: Types of required entries.</t>
  </si>
  <si>
    <t>a</t>
  </si>
  <si>
    <t>b</t>
  </si>
  <si>
    <t>If a cell is shaded</t>
  </si>
  <si>
    <t>You should</t>
  </si>
  <si>
    <t>a + b</t>
  </si>
  <si>
    <t>=a+b</t>
  </si>
  <si>
    <t>addition</t>
  </si>
  <si>
    <t>Blue</t>
  </si>
  <si>
    <t>Enter a text response</t>
  </si>
  <si>
    <t>Choose values for a and b and verify that your formulas work.</t>
  </si>
  <si>
    <t>a - b</t>
  </si>
  <si>
    <t>=a-b</t>
  </si>
  <si>
    <t>subtraction</t>
  </si>
  <si>
    <t>Green</t>
  </si>
  <si>
    <t>Enter a number</t>
  </si>
  <si>
    <t>a  ∙ b</t>
  </si>
  <si>
    <t>=a*b</t>
  </si>
  <si>
    <t>multiplication</t>
  </si>
  <si>
    <t>Gold</t>
  </si>
  <si>
    <t>Enter an Excel formula</t>
  </si>
  <si>
    <t>a ÷ b</t>
  </si>
  <si>
    <t>=a/b</t>
  </si>
  <si>
    <t>division</t>
  </si>
  <si>
    <t>Any other color</t>
  </si>
  <si>
    <t>Make no changes</t>
  </si>
  <si>
    <t>aᵇ</t>
  </si>
  <si>
    <t>=a^b</t>
  </si>
  <si>
    <t>exponentiation</t>
  </si>
  <si>
    <t>Format the results as "Number" with two decimals.</t>
  </si>
  <si>
    <t>Legend: Auto Grading</t>
  </si>
  <si>
    <r>
      <rPr>
        <b/>
        <sz val="11"/>
        <color rgb="FFC00000"/>
        <rFont val="Calibri"/>
        <family val="2"/>
        <scheme val="minor"/>
      </rPr>
      <t>15</t>
    </r>
    <r>
      <rPr>
        <sz val="11"/>
        <color theme="1"/>
        <rFont val="Calibri"/>
        <family val="2"/>
        <scheme val="minor"/>
      </rPr>
      <t>/</t>
    </r>
    <r>
      <rPr>
        <sz val="11"/>
        <color rgb="FF00B050"/>
        <rFont val="Calibri"/>
        <family val="2"/>
        <scheme val="minor"/>
      </rPr>
      <t>16</t>
    </r>
  </si>
  <si>
    <t>A formula is used, but is incorrect, e.g., missing cell references.</t>
  </si>
  <si>
    <r>
      <t xml:space="preserve">⇐  The value might be </t>
    </r>
    <r>
      <rPr>
        <b/>
        <sz val="11"/>
        <color rgb="FFC00000"/>
        <rFont val="Calibri"/>
        <family val="2"/>
        <scheme val="minor"/>
      </rPr>
      <t xml:space="preserve">incorrect </t>
    </r>
    <r>
      <rPr>
        <sz val="11"/>
        <color theme="1"/>
        <rFont val="Calibri"/>
        <family val="2"/>
        <scheme val="minor"/>
      </rPr>
      <t xml:space="preserve">or </t>
    </r>
    <r>
      <rPr>
        <b/>
        <sz val="11"/>
        <color rgb="FF00B050"/>
        <rFont val="Calibri"/>
        <family val="2"/>
        <scheme val="minor"/>
      </rPr>
      <t>correct</t>
    </r>
    <r>
      <rPr>
        <sz val="11"/>
        <color theme="1"/>
        <rFont val="Calibri"/>
        <family val="2"/>
        <scheme val="minor"/>
      </rPr>
      <t>.</t>
    </r>
  </si>
  <si>
    <r>
      <t xml:space="preserve">A formula should have been used, </t>
    </r>
    <r>
      <rPr>
        <b/>
        <sz val="11"/>
        <color theme="1"/>
        <rFont val="Calibri"/>
        <family val="2"/>
        <scheme val="minor"/>
      </rPr>
      <t>and</t>
    </r>
    <r>
      <rPr>
        <sz val="11"/>
        <color theme="1"/>
        <rFont val="Calibri"/>
        <family val="2"/>
        <scheme val="minor"/>
      </rPr>
      <t xml:space="preserve"> the value is incorrect.</t>
    </r>
  </si>
  <si>
    <t>A formula should have been used, but the value is correct.</t>
  </si>
  <si>
    <t>The correct formula is used.</t>
  </si>
  <si>
    <t>Practice with simple range operations.</t>
  </si>
  <si>
    <t>Data</t>
  </si>
  <si>
    <t>Value to calculate</t>
  </si>
  <si>
    <t>Excel Equivalent</t>
  </si>
  <si>
    <t>Extra Formatting Instructions</t>
  </si>
  <si>
    <t xml:space="preserve">Average </t>
  </si>
  <si>
    <t>=AVERAGE(RANGE)</t>
  </si>
  <si>
    <t xml:space="preserve">Format to show two decimal places, like 12.34 </t>
  </si>
  <si>
    <t>Sum</t>
  </si>
  <si>
    <t>=SUM(RANGE)</t>
  </si>
  <si>
    <t xml:space="preserve">Format to show one decimal place, like 12.3 </t>
  </si>
  <si>
    <t>Product</t>
  </si>
  <si>
    <t>=PRODUCT(RANGE)</t>
  </si>
  <si>
    <t xml:space="preserve">Format to show three decimal places, like 12.345 </t>
  </si>
  <si>
    <t>Enter any values that you want for the data and verify that your formulas are doing what they should.</t>
  </si>
  <si>
    <t>Choose some values for a and b and verify that your formula work.</t>
  </si>
  <si>
    <t>Legend</t>
  </si>
  <si>
    <t>A range is written as "FirstCell:LastCell" so here the data is in D29:D36. You could write =D29+D30+…+D36 or =SUM(D29,D30,…,D36). But in such cases you should use =SUM(D29:D36). This is easier, saes time, and avoids typos and other mistakes.</t>
  </si>
  <si>
    <t>Calculated Value</t>
  </si>
  <si>
    <t>Enter any nuber you want for the data and verify that your formulas are doing what they should.</t>
  </si>
  <si>
    <t>Download and open the sheet.</t>
  </si>
  <si>
    <t>A range is written as "FirstCell:LastCell" so here the data is in E21:E28. You could write =E21+E21+…+E28, or =SUM(E21,E22,…,E28). But in such cases, you should use =SUM(E21:E28). This is easier, saves time, and avoids typos and other mistakes.</t>
  </si>
  <si>
    <t>Your Name Here</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</si>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</sst>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6" x14ac:knownFonts="1">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u/>
      <sz val="11"/>
      <color theme="10"/>
      <name val="Calibri"/>
      <family val="2"/>
      <scheme val="minor"/>
    </font>
    <font>
      <b/>
      <u/>
      <sz val="14"/>
      <color theme="1"/>
      <name val="Calibri"/>
      <family val="2"/>
      <scheme val="minor"/>
    </font>
    <font>
      <b/>
      <sz val="12"/>
      <color theme="1"/>
      <name val="Calibri"/>
      <family val="2"/>
      <scheme val="minor"/>
    </font>
    <font>
      <b/>
      <sz val="14"/>
      <color theme="0" tint="-4.9989318521683403E-2"/>
      <name val="Brush Script MT"/>
      <family val="4"/>
    </font>
    <font>
      <b/>
      <u/>
      <sz val="12"/>
      <color theme="10"/>
      <name val="Calibri"/>
      <family val="2"/>
      <scheme val="minor"/>
    </font>
    <font>
      <sz val="11"/>
      <color theme="0"/>
      <name val="Calibri"/>
      <family val="2"/>
      <scheme val="minor"/>
    </font>
    <font>
      <b/>
      <sz val="11"/>
      <color rgb="FFFFFF00"/>
      <name val="Calibri"/>
      <family val="2"/>
      <scheme val="minor"/>
    </font>
    <font>
      <b/>
      <sz val="11"/>
      <color rgb="FFC00000"/>
      <name val="Calibri"/>
      <family val="2"/>
      <scheme val="minor"/>
    </font>
    <font>
      <sz val="11"/>
      <color rgb="FF00B050"/>
      <name val="Calibri"/>
      <family val="2"/>
      <scheme val="minor"/>
    </font>
    <font>
      <b/>
      <u/>
      <sz val="14"/>
      <color theme="10"/>
      <name val="Calibri"/>
      <family val="2"/>
      <scheme val="minor"/>
    </font>
    <font>
      <b/>
      <sz val="11"/>
      <color theme="0"/>
      <name val="Calibri"/>
      <family val="2"/>
      <scheme val="minor"/>
    </font>
    <font>
      <sz val="12"/>
      <color theme="0"/>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rgb="FFC00000"/>
        <bgColor indexed="64"/>
      </patternFill>
    </fill>
    <fill>
      <patternFill patternType="lightGray">
        <bgColor theme="7" tint="0.59999389629810485"/>
      </patternFill>
    </fill>
    <fill>
      <patternFill patternType="solid">
        <fgColor theme="0"/>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194">
    <xf numFmtId="0" fontId="0" fillId="0" borderId="0" xfId="0"/>
    <xf numFmtId="0" fontId="0" fillId="0" borderId="0" xfId="0" applyAlignment="1">
      <alignment horizontal="center"/>
    </xf>
    <xf numFmtId="0" fontId="0" fillId="0" borderId="7" xfId="0" applyBorder="1" applyAlignment="1">
      <alignment horizontal="center"/>
    </xf>
    <xf numFmtId="0" fontId="1" fillId="0" borderId="0" xfId="0" applyFont="1"/>
    <xf numFmtId="0" fontId="0" fillId="2" borderId="15" xfId="0" applyFill="1" applyBorder="1" applyAlignment="1">
      <alignment horizontal="center"/>
    </xf>
    <xf numFmtId="0" fontId="0" fillId="0" borderId="7" xfId="0" quotePrefix="1" applyBorder="1" applyAlignment="1">
      <alignment horizontal="center"/>
    </xf>
    <xf numFmtId="0" fontId="0" fillId="2" borderId="25" xfId="0" applyFill="1" applyBorder="1" applyAlignment="1">
      <alignment horizontal="center"/>
    </xf>
    <xf numFmtId="0" fontId="0" fillId="0" borderId="28" xfId="0" applyBorder="1" applyAlignment="1">
      <alignment horizontal="center"/>
    </xf>
    <xf numFmtId="0" fontId="0" fillId="0" borderId="28" xfId="0" quotePrefix="1" applyBorder="1" applyAlignment="1">
      <alignment horizontal="center"/>
    </xf>
    <xf numFmtId="0" fontId="1" fillId="2" borderId="7" xfId="0" applyFont="1" applyFill="1" applyBorder="1" applyAlignment="1">
      <alignment horizontal="center"/>
    </xf>
    <xf numFmtId="0" fontId="0" fillId="2" borderId="20" xfId="0" applyFill="1" applyBorder="1" applyAlignment="1">
      <alignment horizontal="center"/>
    </xf>
    <xf numFmtId="0" fontId="1" fillId="2" borderId="16" xfId="0" applyFont="1" applyFill="1" applyBorder="1" applyAlignment="1">
      <alignment horizontal="center"/>
    </xf>
    <xf numFmtId="0" fontId="0" fillId="0" borderId="0" xfId="0" applyAlignment="1">
      <alignment horizontal="left"/>
    </xf>
    <xf numFmtId="0" fontId="1" fillId="0" borderId="0" xfId="0" applyFont="1" applyAlignment="1">
      <alignment vertical="center"/>
    </xf>
    <xf numFmtId="0" fontId="0" fillId="0" borderId="0" xfId="0" applyAlignment="1">
      <alignment horizontal="left" wrapText="1" indent="1"/>
    </xf>
    <xf numFmtId="0" fontId="0" fillId="0" borderId="0" xfId="0" applyAlignment="1">
      <alignment wrapText="1"/>
    </xf>
    <xf numFmtId="0" fontId="1" fillId="2" borderId="38" xfId="0" applyFont="1" applyFill="1" applyBorder="1" applyAlignment="1">
      <alignment horizontal="center" wrapText="1"/>
    </xf>
    <xf numFmtId="0" fontId="1" fillId="2" borderId="15" xfId="0" applyFont="1" applyFill="1" applyBorder="1" applyAlignment="1">
      <alignment horizontal="center" vertical="center"/>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5" borderId="25" xfId="0" applyFont="1" applyFill="1" applyBorder="1" applyAlignment="1" applyProtection="1">
      <alignment horizontal="center" vertical="center"/>
      <protection hidden="1"/>
    </xf>
    <xf numFmtId="0" fontId="2" fillId="0" borderId="26" xfId="0" applyFont="1" applyBorder="1" applyAlignment="1" applyProtection="1">
      <alignment horizontal="center" vertical="center"/>
      <protection hidden="1"/>
    </xf>
    <xf numFmtId="0" fontId="2" fillId="6" borderId="25" xfId="0" applyFont="1" applyFill="1" applyBorder="1" applyAlignment="1" applyProtection="1">
      <alignment horizontal="center" vertical="center"/>
      <protection hidden="1"/>
    </xf>
    <xf numFmtId="0" fontId="2" fillId="7" borderId="25" xfId="0" applyFont="1" applyFill="1" applyBorder="1" applyAlignment="1" applyProtection="1">
      <alignment horizontal="center" vertical="center"/>
      <protection hidden="1"/>
    </xf>
    <xf numFmtId="0" fontId="2" fillId="0" borderId="27" xfId="0" applyFont="1" applyBorder="1" applyAlignment="1" applyProtection="1">
      <alignment horizontal="center" vertical="center"/>
      <protection hidden="1"/>
    </xf>
    <xf numFmtId="0" fontId="2" fillId="0" borderId="29" xfId="0" applyFont="1" applyBorder="1" applyAlignment="1" applyProtection="1">
      <alignment horizontal="center" vertical="center"/>
      <protection hidden="1"/>
    </xf>
    <xf numFmtId="0" fontId="0" fillId="0" borderId="0" xfId="0" applyAlignment="1">
      <alignment horizontal="left" vertical="center" wrapText="1" indent="1"/>
    </xf>
    <xf numFmtId="0" fontId="3" fillId="9" borderId="25" xfId="0" applyFont="1" applyFill="1" applyBorder="1" applyAlignment="1" applyProtection="1">
      <alignment horizontal="center"/>
      <protection locked="0"/>
    </xf>
    <xf numFmtId="0" fontId="3" fillId="7" borderId="27" xfId="0" applyFont="1" applyFill="1" applyBorder="1" applyAlignment="1" applyProtection="1">
      <alignment horizontal="center" vertical="center"/>
      <protection locked="0"/>
    </xf>
    <xf numFmtId="0" fontId="1" fillId="2" borderId="39" xfId="0" applyFont="1" applyFill="1" applyBorder="1" applyAlignment="1">
      <alignment horizontal="right" vertical="center"/>
    </xf>
    <xf numFmtId="164" fontId="9" fillId="0" borderId="0" xfId="0" applyNumberFormat="1" applyFont="1"/>
    <xf numFmtId="0" fontId="0" fillId="0" borderId="0" xfId="0" applyAlignment="1">
      <alignment horizontal="center" vertical="center"/>
    </xf>
    <xf numFmtId="0" fontId="7" fillId="8" borderId="40" xfId="0" applyFont="1" applyFill="1" applyBorder="1" applyAlignment="1" applyProtection="1">
      <alignment horizontal="center"/>
      <protection locked="0"/>
    </xf>
    <xf numFmtId="0" fontId="0" fillId="3" borderId="17" xfId="0" applyFill="1" applyBorder="1" applyAlignment="1" applyProtection="1">
      <alignment horizontal="center"/>
      <protection locked="0"/>
    </xf>
    <xf numFmtId="0" fontId="0" fillId="11" borderId="22" xfId="0" applyFill="1" applyBorder="1" applyAlignment="1" applyProtection="1">
      <alignment horizontal="center"/>
      <protection locked="0"/>
    </xf>
    <xf numFmtId="0" fontId="11" fillId="9" borderId="25" xfId="0" applyFont="1" applyFill="1" applyBorder="1" applyAlignment="1">
      <alignment horizontal="center"/>
    </xf>
    <xf numFmtId="0" fontId="0" fillId="0" borderId="41" xfId="0" applyBorder="1" applyAlignment="1" applyProtection="1">
      <alignment vertical="center"/>
      <protection locked="0"/>
    </xf>
    <xf numFmtId="0" fontId="0" fillId="0" borderId="42" xfId="0" applyBorder="1" applyProtection="1">
      <protection locked="0"/>
    </xf>
    <xf numFmtId="0" fontId="0" fillId="0" borderId="43" xfId="0" applyBorder="1" applyAlignment="1" applyProtection="1">
      <alignment vertical="center"/>
      <protection locked="0"/>
    </xf>
    <xf numFmtId="0" fontId="0" fillId="0" borderId="0" xfId="0" applyProtection="1">
      <protection locked="0"/>
    </xf>
    <xf numFmtId="0" fontId="0" fillId="7" borderId="26" xfId="0" applyFill="1" applyBorder="1" applyAlignment="1" applyProtection="1">
      <alignment horizontal="center" vertical="center"/>
      <protection locked="0"/>
    </xf>
    <xf numFmtId="0" fontId="0" fillId="7" borderId="7" xfId="0" applyFill="1" applyBorder="1" applyAlignment="1" applyProtection="1">
      <alignment horizontal="center" vertical="center"/>
      <protection locked="0"/>
    </xf>
    <xf numFmtId="0" fontId="1" fillId="0" borderId="2" xfId="0" applyFont="1" applyBorder="1" applyAlignment="1">
      <alignment vertical="center"/>
    </xf>
    <xf numFmtId="0" fontId="0" fillId="3" borderId="25" xfId="0" applyFill="1" applyBorder="1" applyAlignment="1" applyProtection="1">
      <alignment horizontal="center"/>
      <protection locked="0"/>
    </xf>
    <xf numFmtId="0" fontId="0" fillId="3" borderId="15" xfId="0" applyFill="1" applyBorder="1" applyAlignment="1" applyProtection="1">
      <alignment horizontal="center"/>
      <protection locked="0"/>
    </xf>
    <xf numFmtId="0" fontId="9" fillId="12" borderId="0" xfId="0" applyFont="1" applyFill="1" applyAlignment="1">
      <alignment horizontal="center"/>
    </xf>
    <xf numFmtId="0" fontId="9" fillId="12" borderId="0" xfId="0" applyFont="1" applyFill="1"/>
    <xf numFmtId="0" fontId="14" fillId="12" borderId="0" xfId="0" applyFont="1" applyFill="1" applyAlignment="1">
      <alignment vertical="center"/>
    </xf>
    <xf numFmtId="0" fontId="14" fillId="12" borderId="0" xfId="0" applyFont="1" applyFill="1"/>
    <xf numFmtId="0" fontId="9" fillId="12" borderId="25" xfId="0" applyFont="1" applyFill="1" applyBorder="1" applyAlignment="1">
      <alignment horizontal="center"/>
    </xf>
    <xf numFmtId="0" fontId="9" fillId="12" borderId="15" xfId="0" applyFont="1" applyFill="1" applyBorder="1" applyAlignment="1">
      <alignment horizontal="center"/>
    </xf>
    <xf numFmtId="0" fontId="9" fillId="12" borderId="7" xfId="0" applyFont="1" applyFill="1" applyBorder="1" applyAlignment="1">
      <alignment horizontal="center"/>
    </xf>
    <xf numFmtId="0" fontId="9" fillId="12" borderId="7" xfId="0" quotePrefix="1" applyFont="1" applyFill="1" applyBorder="1" applyAlignment="1">
      <alignment horizontal="center"/>
    </xf>
    <xf numFmtId="0" fontId="9" fillId="12" borderId="26" xfId="0" applyFont="1" applyFill="1" applyBorder="1" applyAlignment="1">
      <alignment horizontal="center"/>
    </xf>
    <xf numFmtId="0" fontId="14" fillId="12" borderId="7" xfId="0" applyFont="1" applyFill="1" applyBorder="1" applyAlignment="1">
      <alignment horizontal="right" vertical="center"/>
    </xf>
    <xf numFmtId="0" fontId="14" fillId="12" borderId="7" xfId="0" applyFont="1" applyFill="1" applyBorder="1"/>
    <xf numFmtId="0" fontId="9" fillId="12" borderId="28" xfId="0" applyFont="1" applyFill="1" applyBorder="1" applyAlignment="1">
      <alignment horizontal="center"/>
    </xf>
    <xf numFmtId="0" fontId="9" fillId="12" borderId="28" xfId="0" quotePrefix="1" applyFont="1" applyFill="1" applyBorder="1" applyAlignment="1">
      <alignment horizontal="center"/>
    </xf>
    <xf numFmtId="0" fontId="9" fillId="12" borderId="29" xfId="0" applyFont="1" applyFill="1" applyBorder="1" applyAlignment="1">
      <alignment horizontal="center"/>
    </xf>
    <xf numFmtId="0" fontId="9" fillId="12" borderId="0" xfId="0" applyFont="1" applyFill="1" applyAlignment="1">
      <alignment horizontal="left"/>
    </xf>
    <xf numFmtId="0" fontId="15" fillId="12" borderId="11" xfId="0" applyFont="1" applyFill="1" applyBorder="1" applyAlignment="1" applyProtection="1">
      <alignment horizontal="center" vertical="center"/>
      <protection hidden="1"/>
    </xf>
    <xf numFmtId="0" fontId="15" fillId="12" borderId="12" xfId="0" applyFont="1" applyFill="1" applyBorder="1" applyAlignment="1" applyProtection="1">
      <alignment horizontal="center" vertical="center"/>
      <protection hidden="1"/>
    </xf>
    <xf numFmtId="0" fontId="9" fillId="12" borderId="20" xfId="0" applyFont="1" applyFill="1" applyBorder="1" applyAlignment="1">
      <alignment horizontal="center"/>
    </xf>
    <xf numFmtId="0" fontId="14" fillId="12" borderId="16" xfId="0" applyFont="1" applyFill="1" applyBorder="1" applyAlignment="1">
      <alignment horizontal="center"/>
    </xf>
    <xf numFmtId="0" fontId="14" fillId="12" borderId="7" xfId="0" applyFont="1" applyFill="1" applyBorder="1" applyAlignment="1">
      <alignment horizontal="center"/>
    </xf>
    <xf numFmtId="0" fontId="14" fillId="12" borderId="7" xfId="0" applyFont="1" applyFill="1" applyBorder="1" applyAlignment="1">
      <alignment horizontal="center" vertical="center"/>
    </xf>
    <xf numFmtId="0" fontId="9" fillId="12" borderId="17" xfId="0" applyFont="1" applyFill="1" applyBorder="1" applyAlignment="1">
      <alignment horizontal="center"/>
    </xf>
    <xf numFmtId="0" fontId="9" fillId="12" borderId="7" xfId="0" applyFont="1" applyFill="1" applyBorder="1" applyAlignment="1">
      <alignment horizontal="center" vertical="center"/>
    </xf>
    <xf numFmtId="0" fontId="15" fillId="12" borderId="13" xfId="0" applyFont="1" applyFill="1" applyBorder="1" applyAlignment="1" applyProtection="1">
      <alignment horizontal="center" vertical="center"/>
      <protection hidden="1"/>
    </xf>
    <xf numFmtId="0" fontId="15" fillId="12" borderId="14" xfId="0" applyFont="1" applyFill="1" applyBorder="1" applyAlignment="1" applyProtection="1">
      <alignment horizontal="center" vertical="center"/>
      <protection hidden="1"/>
    </xf>
    <xf numFmtId="0" fontId="8" fillId="2" borderId="35" xfId="1" applyFont="1" applyFill="1" applyBorder="1" applyAlignment="1">
      <alignment horizontal="center" vertical="center"/>
    </xf>
    <xf numFmtId="0" fontId="8" fillId="2" borderId="36" xfId="1" applyFont="1" applyFill="1" applyBorder="1" applyAlignment="1">
      <alignment horizontal="center" vertical="center"/>
    </xf>
    <xf numFmtId="0" fontId="8" fillId="2" borderId="37" xfId="1" applyFont="1" applyFill="1" applyBorder="1" applyAlignment="1">
      <alignment horizontal="center" vertical="center"/>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8"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11" fillId="0" borderId="1" xfId="0" applyFont="1" applyBorder="1" applyAlignment="1">
      <alignment horizontal="left" vertical="center" wrapText="1" indent="1"/>
    </xf>
    <xf numFmtId="0" fontId="11" fillId="0" borderId="2" xfId="0" applyFont="1" applyBorder="1" applyAlignment="1">
      <alignment horizontal="left" vertical="center" wrapText="1" indent="1"/>
    </xf>
    <xf numFmtId="0" fontId="11" fillId="0" borderId="3"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0" xfId="0" applyFont="1" applyAlignment="1">
      <alignment horizontal="left" vertical="center" wrapText="1" indent="1"/>
    </xf>
    <xf numFmtId="0" fontId="11" fillId="0" borderId="18" xfId="0" applyFont="1" applyBorder="1" applyAlignment="1">
      <alignment horizontal="left" vertical="center" wrapText="1" indent="1"/>
    </xf>
    <xf numFmtId="0" fontId="11" fillId="0" borderId="4"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6" xfId="0" applyFont="1" applyBorder="1" applyAlignment="1">
      <alignment horizontal="left" vertical="center" wrapText="1" inden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2" borderId="16" xfId="0" applyFill="1" applyBorder="1" applyAlignment="1">
      <alignment horizontal="left" wrapText="1" indent="1"/>
    </xf>
    <xf numFmtId="0" fontId="0" fillId="2" borderId="7" xfId="0" applyFill="1" applyBorder="1" applyAlignment="1">
      <alignment horizontal="left" wrapText="1" indent="1"/>
    </xf>
    <xf numFmtId="0" fontId="0" fillId="2" borderId="7" xfId="0" applyFill="1" applyBorder="1" applyAlignment="1">
      <alignment horizontal="left" vertical="center" wrapText="1" indent="1"/>
    </xf>
    <xf numFmtId="0" fontId="1" fillId="2" borderId="2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1" fillId="2" borderId="3" xfId="0" applyFont="1" applyFill="1" applyBorder="1" applyAlignment="1">
      <alignment horizontal="left" vertical="center" wrapText="1" indent="1"/>
    </xf>
    <xf numFmtId="0" fontId="1" fillId="2" borderId="6" xfId="0" applyFont="1" applyFill="1" applyBorder="1" applyAlignment="1">
      <alignment horizontal="left" vertical="center" wrapText="1" indent="1"/>
    </xf>
    <xf numFmtId="0" fontId="0" fillId="0" borderId="7" xfId="0" applyBorder="1" applyAlignment="1" applyProtection="1">
      <alignment horizontal="left" indent="1"/>
      <protection locked="0"/>
    </xf>
    <xf numFmtId="0" fontId="0" fillId="0" borderId="26" xfId="0" applyBorder="1" applyAlignment="1" applyProtection="1">
      <alignment horizontal="left" indent="1"/>
      <protection locked="0"/>
    </xf>
    <xf numFmtId="0" fontId="0" fillId="0" borderId="28" xfId="0" applyBorder="1" applyAlignment="1" applyProtection="1">
      <alignment horizontal="left" vertical="center" indent="1"/>
      <protection locked="0"/>
    </xf>
    <xf numFmtId="0" fontId="0" fillId="0" borderId="29" xfId="0" applyBorder="1" applyAlignment="1" applyProtection="1">
      <alignment horizontal="left" vertical="center" indent="1"/>
      <protection locked="0"/>
    </xf>
    <xf numFmtId="0" fontId="0" fillId="2" borderId="16" xfId="0" applyFill="1" applyBorder="1" applyAlignment="1">
      <alignment horizontal="left" indent="1"/>
    </xf>
    <xf numFmtId="0" fontId="0" fillId="2" borderId="7" xfId="0" applyFill="1" applyBorder="1" applyAlignment="1">
      <alignment horizontal="left" indent="1"/>
    </xf>
    <xf numFmtId="0" fontId="1" fillId="2" borderId="35" xfId="0" applyFont="1" applyFill="1" applyBorder="1" applyAlignment="1">
      <alignment horizontal="center"/>
    </xf>
    <xf numFmtId="0" fontId="1" fillId="2" borderId="37" xfId="0" applyFont="1" applyFill="1" applyBorder="1" applyAlignment="1">
      <alignment horizontal="center"/>
    </xf>
    <xf numFmtId="0" fontId="0" fillId="0" borderId="7" xfId="0" applyBorder="1" applyAlignment="1" applyProtection="1">
      <alignment horizontal="left" vertical="center" indent="1"/>
      <protection locked="0"/>
    </xf>
    <xf numFmtId="0" fontId="0" fillId="0" borderId="26" xfId="0" applyBorder="1" applyAlignment="1" applyProtection="1">
      <alignment horizontal="left" vertical="center" indent="1"/>
      <protection locked="0"/>
    </xf>
    <xf numFmtId="0" fontId="1" fillId="2" borderId="22" xfId="0" applyFont="1" applyFill="1" applyBorder="1" applyAlignment="1">
      <alignment horizontal="center"/>
    </xf>
    <xf numFmtId="0" fontId="1" fillId="2" borderId="23" xfId="0" applyFont="1" applyFill="1" applyBorder="1" applyAlignment="1">
      <alignment horizontal="center"/>
    </xf>
    <xf numFmtId="0" fontId="6" fillId="2" borderId="1" xfId="0" applyFont="1" applyFill="1" applyBorder="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0" fillId="2" borderId="30" xfId="0" applyFill="1" applyBorder="1" applyAlignment="1">
      <alignment horizontal="left" vertical="center" wrapText="1"/>
    </xf>
    <xf numFmtId="0" fontId="0" fillId="2" borderId="31" xfId="0" applyFill="1" applyBorder="1" applyAlignment="1">
      <alignment horizontal="left" vertical="center" wrapText="1"/>
    </xf>
    <xf numFmtId="0" fontId="0" fillId="2" borderId="8" xfId="0" applyFill="1" applyBorder="1" applyAlignment="1">
      <alignment horizontal="left" vertical="center" wrapText="1"/>
    </xf>
    <xf numFmtId="0" fontId="0" fillId="2" borderId="21" xfId="0" applyFill="1" applyBorder="1" applyAlignment="1">
      <alignment horizontal="left" vertical="center" wrapText="1"/>
    </xf>
    <xf numFmtId="0" fontId="0" fillId="2" borderId="4" xfId="0" applyFill="1" applyBorder="1" applyAlignment="1">
      <alignment horizontal="left" vertical="center" wrapText="1"/>
    </xf>
    <xf numFmtId="0" fontId="0" fillId="2" borderId="32" xfId="0" applyFill="1" applyBorder="1" applyAlignment="1">
      <alignment horizontal="left" vertical="center" wrapText="1"/>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0" fillId="0" borderId="8" xfId="0" applyBorder="1" applyAlignment="1">
      <alignment horizontal="left"/>
    </xf>
    <xf numFmtId="0" fontId="0" fillId="0" borderId="0" xfId="0" applyAlignment="1">
      <alignment horizontal="left"/>
    </xf>
    <xf numFmtId="0" fontId="8" fillId="2" borderId="4" xfId="1" applyFont="1" applyFill="1" applyBorder="1" applyAlignment="1">
      <alignment horizontal="center" vertical="center"/>
    </xf>
    <xf numFmtId="0" fontId="8" fillId="2" borderId="6" xfId="1" applyFont="1" applyFill="1" applyBorder="1" applyAlignment="1">
      <alignment horizontal="center" vertical="center"/>
    </xf>
    <xf numFmtId="0" fontId="0" fillId="0" borderId="2" xfId="0" applyBorder="1" applyAlignment="1">
      <alignment horizontal="center"/>
    </xf>
    <xf numFmtId="0" fontId="1" fillId="2" borderId="35" xfId="0" applyFont="1" applyFill="1" applyBorder="1" applyAlignment="1">
      <alignment horizontal="center" vertical="center"/>
    </xf>
    <xf numFmtId="0" fontId="1" fillId="2" borderId="37" xfId="0" applyFont="1" applyFill="1" applyBorder="1" applyAlignment="1">
      <alignment horizontal="center" vertical="center"/>
    </xf>
    <xf numFmtId="0" fontId="13" fillId="2" borderId="35" xfId="1" applyFont="1" applyFill="1" applyBorder="1" applyAlignment="1">
      <alignment horizontal="center" vertical="center"/>
    </xf>
    <xf numFmtId="0" fontId="13" fillId="2" borderId="36" xfId="1" applyFont="1" applyFill="1" applyBorder="1" applyAlignment="1">
      <alignment horizontal="center" vertical="center"/>
    </xf>
    <xf numFmtId="0" fontId="13" fillId="2" borderId="37" xfId="1" applyFont="1" applyFill="1" applyBorder="1" applyAlignment="1">
      <alignment horizontal="center" vertical="center"/>
    </xf>
    <xf numFmtId="0" fontId="1" fillId="2" borderId="35" xfId="1" applyFont="1" applyFill="1" applyBorder="1" applyAlignment="1">
      <alignment horizontal="center" vertical="center"/>
    </xf>
    <xf numFmtId="0" fontId="5" fillId="2" borderId="36" xfId="1" applyFont="1" applyFill="1" applyBorder="1" applyAlignment="1">
      <alignment horizontal="center" vertical="center"/>
    </xf>
    <xf numFmtId="0" fontId="5" fillId="2" borderId="37" xfId="1" applyFont="1" applyFill="1" applyBorder="1" applyAlignment="1">
      <alignment horizontal="center" vertical="center"/>
    </xf>
    <xf numFmtId="0" fontId="10" fillId="10" borderId="1" xfId="0" applyFont="1" applyFill="1" applyBorder="1" applyAlignment="1">
      <alignment horizontal="left" vertical="center" wrapText="1" indent="1"/>
    </xf>
    <xf numFmtId="0" fontId="10" fillId="10" borderId="2" xfId="0" applyFont="1" applyFill="1" applyBorder="1" applyAlignment="1">
      <alignment horizontal="left" vertical="center" wrapText="1" indent="1"/>
    </xf>
    <xf numFmtId="0" fontId="10" fillId="10" borderId="3" xfId="0" applyFont="1" applyFill="1" applyBorder="1" applyAlignment="1">
      <alignment horizontal="left" vertical="center" wrapText="1" indent="1"/>
    </xf>
    <xf numFmtId="0" fontId="10" fillId="10" borderId="8" xfId="0" applyFont="1" applyFill="1" applyBorder="1" applyAlignment="1">
      <alignment horizontal="left" vertical="center" wrapText="1" indent="1"/>
    </xf>
    <xf numFmtId="0" fontId="10" fillId="10" borderId="0" xfId="0" applyFont="1" applyFill="1" applyAlignment="1">
      <alignment horizontal="left" vertical="center" wrapText="1" indent="1"/>
    </xf>
    <xf numFmtId="0" fontId="10" fillId="10" borderId="18" xfId="0" applyFont="1" applyFill="1" applyBorder="1" applyAlignment="1">
      <alignment horizontal="left" vertical="center" wrapText="1" indent="1"/>
    </xf>
    <xf numFmtId="0" fontId="10" fillId="10" borderId="4" xfId="0" applyFont="1" applyFill="1" applyBorder="1" applyAlignment="1">
      <alignment horizontal="left" vertical="center" wrapText="1" indent="1"/>
    </xf>
    <xf numFmtId="0" fontId="10" fillId="10" borderId="5" xfId="0" applyFont="1" applyFill="1" applyBorder="1" applyAlignment="1">
      <alignment horizontal="left" vertical="center" wrapText="1" indent="1"/>
    </xf>
    <xf numFmtId="0" fontId="10" fillId="10" borderId="6" xfId="0" applyFont="1" applyFill="1" applyBorder="1" applyAlignment="1">
      <alignment horizontal="left" vertical="center" wrapText="1" indent="1"/>
    </xf>
    <xf numFmtId="0" fontId="0" fillId="0" borderId="23" xfId="0" applyBorder="1" applyAlignment="1" applyProtection="1">
      <alignment horizontal="left" indent="1"/>
      <protection locked="0"/>
    </xf>
    <xf numFmtId="0" fontId="0" fillId="0" borderId="24" xfId="0" applyBorder="1" applyAlignment="1" applyProtection="1">
      <alignment horizontal="left" indent="1"/>
      <protection locked="0"/>
    </xf>
    <xf numFmtId="0" fontId="14" fillId="12" borderId="1" xfId="0" applyFont="1" applyFill="1" applyBorder="1" applyAlignment="1">
      <alignment horizontal="center" vertical="center"/>
    </xf>
    <xf numFmtId="0" fontId="14" fillId="12" borderId="2" xfId="0" applyFont="1" applyFill="1" applyBorder="1" applyAlignment="1">
      <alignment horizontal="center" vertical="center"/>
    </xf>
    <xf numFmtId="0" fontId="14" fillId="12" borderId="3" xfId="0" applyFont="1" applyFill="1" applyBorder="1" applyAlignment="1">
      <alignment horizontal="center" vertical="center"/>
    </xf>
    <xf numFmtId="0" fontId="14" fillId="12" borderId="4" xfId="0" applyFont="1" applyFill="1" applyBorder="1" applyAlignment="1">
      <alignment horizontal="center" vertical="center"/>
    </xf>
    <xf numFmtId="0" fontId="14" fillId="12" borderId="5" xfId="0" applyFont="1" applyFill="1" applyBorder="1" applyAlignment="1">
      <alignment horizontal="center" vertical="center"/>
    </xf>
    <xf numFmtId="0" fontId="14" fillId="12" borderId="6" xfId="0" applyFont="1" applyFill="1" applyBorder="1" applyAlignment="1">
      <alignment horizontal="center" vertical="center"/>
    </xf>
    <xf numFmtId="0" fontId="14" fillId="12" borderId="22" xfId="0" applyFont="1" applyFill="1" applyBorder="1" applyAlignment="1">
      <alignment horizontal="center"/>
    </xf>
    <xf numFmtId="0" fontId="14" fillId="12" borderId="23" xfId="0" applyFont="1" applyFill="1" applyBorder="1" applyAlignment="1">
      <alignment horizontal="center"/>
    </xf>
    <xf numFmtId="0" fontId="14" fillId="12" borderId="23" xfId="0" applyFont="1" applyFill="1" applyBorder="1" applyAlignment="1">
      <alignment horizontal="center" vertical="center"/>
    </xf>
    <xf numFmtId="0" fontId="14" fillId="12" borderId="7" xfId="0" applyFont="1" applyFill="1" applyBorder="1" applyAlignment="1">
      <alignment horizontal="center" vertical="center"/>
    </xf>
    <xf numFmtId="0" fontId="14" fillId="12" borderId="19" xfId="0" applyFont="1" applyFill="1" applyBorder="1" applyAlignment="1">
      <alignment horizontal="center" vertical="center"/>
    </xf>
    <xf numFmtId="0" fontId="14" fillId="12" borderId="20" xfId="0" applyFont="1" applyFill="1" applyBorder="1" applyAlignment="1">
      <alignment horizontal="center" vertical="center"/>
    </xf>
    <xf numFmtId="0" fontId="14" fillId="12" borderId="33" xfId="0" applyFont="1" applyFill="1" applyBorder="1" applyAlignment="1">
      <alignment horizontal="center" vertical="center"/>
    </xf>
    <xf numFmtId="0" fontId="14" fillId="12" borderId="34" xfId="0" applyFont="1" applyFill="1" applyBorder="1" applyAlignment="1">
      <alignment horizontal="center" vertical="center"/>
    </xf>
    <xf numFmtId="0" fontId="15" fillId="12" borderId="9" xfId="0" applyFont="1" applyFill="1" applyBorder="1" applyAlignment="1" applyProtection="1">
      <alignment horizontal="center" vertical="center"/>
      <protection hidden="1"/>
    </xf>
    <xf numFmtId="0" fontId="15" fillId="12" borderId="10" xfId="0" applyFont="1" applyFill="1" applyBorder="1" applyAlignment="1" applyProtection="1">
      <alignment horizontal="center" vertical="center"/>
      <protection hidden="1"/>
    </xf>
    <xf numFmtId="0" fontId="9" fillId="12" borderId="30" xfId="0" applyFont="1" applyFill="1" applyBorder="1" applyAlignment="1">
      <alignment horizontal="left" vertical="center" wrapText="1"/>
    </xf>
    <xf numFmtId="0" fontId="9" fillId="12" borderId="31" xfId="0" applyFont="1" applyFill="1" applyBorder="1" applyAlignment="1">
      <alignment horizontal="left" vertical="center" wrapText="1"/>
    </xf>
    <xf numFmtId="0" fontId="9" fillId="12" borderId="8" xfId="0" applyFont="1" applyFill="1" applyBorder="1" applyAlignment="1">
      <alignment horizontal="left" vertical="center" wrapText="1"/>
    </xf>
    <xf numFmtId="0" fontId="9" fillId="12" borderId="21" xfId="0" applyFont="1" applyFill="1" applyBorder="1" applyAlignment="1">
      <alignment horizontal="left" vertical="center" wrapText="1"/>
    </xf>
    <xf numFmtId="0" fontId="9" fillId="12" borderId="4" xfId="0" applyFont="1" applyFill="1" applyBorder="1" applyAlignment="1">
      <alignment horizontal="left" vertical="center" wrapText="1"/>
    </xf>
    <xf numFmtId="0" fontId="9" fillId="12" borderId="32" xfId="0" applyFont="1" applyFill="1" applyBorder="1" applyAlignment="1">
      <alignment horizontal="left" vertical="center" wrapText="1"/>
    </xf>
    <xf numFmtId="0" fontId="9" fillId="12" borderId="16" xfId="0" applyFont="1" applyFill="1" applyBorder="1" applyAlignment="1">
      <alignment horizontal="left" wrapText="1" indent="1"/>
    </xf>
    <xf numFmtId="0" fontId="9" fillId="12" borderId="7" xfId="0" applyFont="1" applyFill="1" applyBorder="1" applyAlignment="1">
      <alignment horizontal="left" wrapText="1" indent="1"/>
    </xf>
    <xf numFmtId="0" fontId="9" fillId="12" borderId="7" xfId="0" applyFont="1" applyFill="1" applyBorder="1" applyAlignment="1">
      <alignment horizontal="left" vertical="center" wrapText="1" inden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0" xfId="0" applyAlignment="1">
      <alignment horizontal="center"/>
    </xf>
    <xf numFmtId="0" fontId="0" fillId="0" borderId="0" xfId="0" applyAlignment="1" applyProtection="1">
      <alignment horizontal="center"/>
      <protection locked="0"/>
    </xf>
  </cellXfs>
  <cellStyles count="2">
    <cellStyle name="Hyperlink" xfId="1" builtinId="8"/>
    <cellStyle name="Normal" xfId="0" builtinId="0"/>
  </cellStyles>
  <dxfs count="11">
    <dxf>
      <fill>
        <patternFill patternType="none">
          <bgColor auto="1"/>
        </patternFill>
      </fill>
    </dxf>
    <dxf>
      <font>
        <b/>
        <i val="0"/>
        <color rgb="FFC00000"/>
      </font>
      <fill>
        <patternFill>
          <bgColor rgb="FFFFFF00"/>
        </patternFill>
      </fill>
    </dxf>
    <dxf>
      <fill>
        <patternFill patternType="lightGray">
          <bgColor rgb="FFFFFF00"/>
        </patternFill>
      </fill>
    </dxf>
    <dxf>
      <font>
        <b/>
        <i val="0"/>
        <color rgb="FF00B050"/>
      </font>
    </dxf>
    <dxf>
      <font>
        <b/>
        <i val="0"/>
        <color rgb="FFC00000"/>
      </font>
    </dxf>
    <dxf>
      <fill>
        <patternFill patternType="solid">
          <bgColor rgb="FFFFFF00"/>
        </patternFill>
      </fill>
    </dxf>
    <dxf>
      <fill>
        <patternFill patternType="lightGray">
          <fgColor theme="1"/>
          <bgColor rgb="FFFFFF00"/>
        </patternFill>
      </fill>
    </dxf>
    <dxf>
      <font>
        <b/>
        <i val="0"/>
        <color rgb="FF00B050"/>
      </font>
    </dxf>
    <dxf>
      <font>
        <b/>
        <i val="0"/>
        <color rgb="FFC00000"/>
      </font>
    </dxf>
    <dxf>
      <font>
        <b/>
        <i val="0"/>
        <color rgb="FFC00000"/>
      </font>
      <fill>
        <patternFill>
          <bgColor rgb="FFFFFF00"/>
        </patternFill>
      </fill>
    </dxf>
    <dxf>
      <font>
        <color theme="1" tint="0.499984740745262"/>
      </font>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161925</xdr:colOff>
      <xdr:row>0</xdr:row>
      <xdr:rowOff>104775</xdr:rowOff>
    </xdr:from>
    <xdr:ext cx="13601700" cy="4552950"/>
    <xdr:sp macro="" textlink="">
      <xdr:nvSpPr>
        <xdr:cNvPr id="5" name="TextBox 4">
          <a:extLst>
            <a:ext uri="{FF2B5EF4-FFF2-40B4-BE49-F238E27FC236}">
              <a16:creationId xmlns:a16="http://schemas.microsoft.com/office/drawing/2014/main" id="{0D34961A-17DE-07D6-3E6F-CB413C656033}"/>
            </a:ext>
          </a:extLst>
        </xdr:cNvPr>
        <xdr:cNvSpPr txBox="1"/>
      </xdr:nvSpPr>
      <xdr:spPr>
        <a:xfrm>
          <a:off x="161925" y="104775"/>
          <a:ext cx="13601700" cy="45529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Richard Ketchersid" id="{E1965639-C3B0-4AA7-85E7-35B439D24F6F}" userId="S::richard.ketchersid@gcu.edu::a14ec2f7-27bd-40c3-90d9-209834cdef5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6-07-16T19:26:47.87" personId="{E1965639-C3B0-4AA7-85E7-35B439D24F6F}" id="{70924595-1501-455D-AEAD-D19C623E0B48}">
    <text>https://www.loom.com/share/7afe56992a4045b6ba3c4ce50c5dc624</text>
    <extLst>
      <x:ext xmlns:xltc2="http://schemas.microsoft.com/office/spreadsheetml/2020/threadedcomments2" uri="{F7C98A9C-CBB3-438F-8F68-D28B6AF4A901}">
        <xltc2:checksum>2011169662</xltc2:checksum>
        <xltc2:hyperlink startIndex="0" length="59" url="https://www.loom.com/share/7afe56992a4045b6ba3c4ce50c5dc624"/>
      </x:ext>
    </extLst>
  </threadedComment>
  <threadedComment ref="C3" dT="2026-07-16T19:27:08.18" personId="{E1965639-C3B0-4AA7-85E7-35B439D24F6F}" id="{4D01F969-C016-49F1-B66A-E0F61BFB82DD}">
    <text>https://www.loom.com/share/2b55793d438c4e3ea60bd6fe69b70766?sid=ea386e71-e314-48ad-9076-167dbf41817d</text>
    <extLst>
      <x:ext xmlns:xltc2="http://schemas.microsoft.com/office/spreadsheetml/2020/threadedcomments2" uri="{F7C98A9C-CBB3-438F-8F68-D28B6AF4A901}">
        <xltc2:checksum>4113386665</xltc2:checksum>
        <xltc2:hyperlink startIndex="0" length="100" url="https://www.loom.com/share/2b55793d438c4e3ea60bd6fe69b70766?sid=ea386e71-e314-48ad-9076-167dbf41817d"/>
      </x:ext>
    </extLs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oom.com/share/06d2f962bb3b46589b2580ce0c025261?t=184&amp;sid=513cfd6c-ae20-4ec6-a43a-36a1fa8f1a49" TargetMode="Externa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www.loom.com/share/06d2f962bb3b46589b2580ce0c025261?t=184&amp;sid=513cfd6c-ae20-4ec6-a43a-36a1fa8f1a49" TargetMode="External"/><Relationship Id="rId7" Type="http://schemas.openxmlformats.org/officeDocument/2006/relationships/comments" Target="../comments1.xml"/><Relationship Id="rId2" Type="http://schemas.openxmlformats.org/officeDocument/2006/relationships/hyperlink" Target="https://www.loom.com/share/7afe56992a4045b6ba3c4ce50c5dc624" TargetMode="External"/><Relationship Id="rId1" Type="http://schemas.openxmlformats.org/officeDocument/2006/relationships/hyperlink" Target="https://www.loom.com/share/e2aa2dfe97ab4bd3bedc4eaceff24da7?sid=234f9106-a770-4aa3-aa59-8a115f213179" TargetMode="External"/><Relationship Id="rId6" Type="http://schemas.openxmlformats.org/officeDocument/2006/relationships/vmlDrawing" Target="../drawings/vmlDrawing1.vml"/><Relationship Id="rId5" Type="http://schemas.openxmlformats.org/officeDocument/2006/relationships/printerSettings" Target="../printerSettings/printerSettings2.bin"/><Relationship Id="rId4" Type="http://schemas.openxmlformats.org/officeDocument/2006/relationships/hyperlink" Target="https://www.loom.com/share/2b55793d438c4e3ea60bd6fe69b70766?sid=ea386e71-e314-48ad-9076-167dbf41817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F0F7-756C-4FB0-8A3F-8C263248E1C8}">
  <dimension ref="B2:J18"/>
  <sheetViews>
    <sheetView tabSelected="1" workbookViewId="0">
      <selection activeCell="D10" sqref="D10:J16"/>
    </sheetView>
  </sheetViews>
  <sheetFormatPr defaultColWidth="8.85546875" defaultRowHeight="15" x14ac:dyDescent="0.25"/>
  <cols>
    <col min="2" max="2" width="56.85546875" customWidth="1"/>
    <col min="5" max="5" width="7.42578125" customWidth="1"/>
    <col min="7" max="7" width="11.7109375" customWidth="1"/>
    <col min="8" max="8" width="13" customWidth="1"/>
  </cols>
  <sheetData>
    <row r="2" spans="2:10" ht="15.75" thickBot="1" x14ac:dyDescent="0.3"/>
    <row r="3" spans="2:10" ht="15.75" thickBot="1" x14ac:dyDescent="0.3">
      <c r="B3" s="16" t="s">
        <v>0</v>
      </c>
      <c r="D3" s="76" t="s">
        <v>1</v>
      </c>
      <c r="E3" s="77"/>
      <c r="F3" s="77"/>
      <c r="G3" s="77"/>
      <c r="H3" s="77"/>
      <c r="I3" s="78"/>
    </row>
    <row r="4" spans="2:10" ht="30" x14ac:dyDescent="0.25">
      <c r="B4" s="15" t="s">
        <v>2</v>
      </c>
      <c r="D4" s="79"/>
      <c r="E4" s="80"/>
      <c r="F4" s="80"/>
      <c r="G4" s="80"/>
      <c r="H4" s="80"/>
      <c r="I4" s="81"/>
    </row>
    <row r="5" spans="2:10" x14ac:dyDescent="0.25">
      <c r="B5" s="14" t="s">
        <v>3</v>
      </c>
      <c r="D5" s="79"/>
      <c r="E5" s="80"/>
      <c r="F5" s="80"/>
      <c r="G5" s="80"/>
      <c r="H5" s="80"/>
      <c r="I5" s="81"/>
    </row>
    <row r="6" spans="2:10" x14ac:dyDescent="0.25">
      <c r="B6" s="14" t="s">
        <v>4</v>
      </c>
      <c r="D6" s="79"/>
      <c r="E6" s="80"/>
      <c r="F6" s="80"/>
      <c r="G6" s="80"/>
      <c r="H6" s="80"/>
      <c r="I6" s="81"/>
    </row>
    <row r="7" spans="2:10" ht="15.75" thickBot="1" x14ac:dyDescent="0.3">
      <c r="B7" s="14" t="s">
        <v>5</v>
      </c>
      <c r="D7" s="82"/>
      <c r="E7" s="83"/>
      <c r="F7" s="83"/>
      <c r="G7" s="83"/>
      <c r="H7" s="83"/>
      <c r="I7" s="84"/>
    </row>
    <row r="8" spans="2:10" ht="15.75" thickBot="1" x14ac:dyDescent="0.3">
      <c r="B8" s="14" t="s">
        <v>6</v>
      </c>
      <c r="D8" s="26"/>
      <c r="E8" s="26"/>
      <c r="F8" s="26"/>
      <c r="G8" s="26"/>
      <c r="H8" s="26"/>
      <c r="I8" s="26"/>
    </row>
    <row r="9" spans="2:10" ht="15.75" thickBot="1" x14ac:dyDescent="0.3">
      <c r="B9" s="16" t="s">
        <v>7</v>
      </c>
    </row>
    <row r="10" spans="2:10" ht="30" customHeight="1" x14ac:dyDescent="0.25">
      <c r="B10" s="15" t="s">
        <v>8</v>
      </c>
      <c r="D10" s="85" t="s">
        <v>9</v>
      </c>
      <c r="E10" s="86"/>
      <c r="F10" s="86"/>
      <c r="G10" s="86"/>
      <c r="H10" s="86"/>
      <c r="I10" s="86"/>
      <c r="J10" s="87"/>
    </row>
    <row r="11" spans="2:10" x14ac:dyDescent="0.25">
      <c r="D11" s="88"/>
      <c r="E11" s="89"/>
      <c r="F11" s="89"/>
      <c r="G11" s="89"/>
      <c r="H11" s="89"/>
      <c r="I11" s="89"/>
      <c r="J11" s="90"/>
    </row>
    <row r="12" spans="2:10" x14ac:dyDescent="0.25">
      <c r="D12" s="88"/>
      <c r="E12" s="89"/>
      <c r="F12" s="89"/>
      <c r="G12" s="89"/>
      <c r="H12" s="89"/>
      <c r="I12" s="89"/>
      <c r="J12" s="90"/>
    </row>
    <row r="13" spans="2:10" x14ac:dyDescent="0.25">
      <c r="D13" s="88"/>
      <c r="E13" s="89"/>
      <c r="F13" s="89"/>
      <c r="G13" s="89"/>
      <c r="H13" s="89"/>
      <c r="I13" s="89"/>
      <c r="J13" s="90"/>
    </row>
    <row r="14" spans="2:10" x14ac:dyDescent="0.25">
      <c r="D14" s="88"/>
      <c r="E14" s="89"/>
      <c r="F14" s="89"/>
      <c r="G14" s="89"/>
      <c r="H14" s="89"/>
      <c r="I14" s="89"/>
      <c r="J14" s="90"/>
    </row>
    <row r="15" spans="2:10" x14ac:dyDescent="0.25">
      <c r="D15" s="88"/>
      <c r="E15" s="89"/>
      <c r="F15" s="89"/>
      <c r="G15" s="89"/>
      <c r="H15" s="89"/>
      <c r="I15" s="89"/>
      <c r="J15" s="90"/>
    </row>
    <row r="16" spans="2:10" ht="15.75" thickBot="1" x14ac:dyDescent="0.3">
      <c r="D16" s="91"/>
      <c r="E16" s="92"/>
      <c r="F16" s="92"/>
      <c r="G16" s="92"/>
      <c r="H16" s="92"/>
      <c r="I16" s="92"/>
      <c r="J16" s="93"/>
    </row>
    <row r="17" spans="6:8" ht="16.5" thickBot="1" x14ac:dyDescent="0.3">
      <c r="F17" s="70" t="s">
        <v>10</v>
      </c>
      <c r="G17" s="71"/>
      <c r="H17" s="72"/>
    </row>
    <row r="18" spans="6:8" ht="15.75" thickBot="1" x14ac:dyDescent="0.3">
      <c r="F18" s="73" t="s">
        <v>11</v>
      </c>
      <c r="G18" s="74"/>
      <c r="H18" s="75"/>
    </row>
  </sheetData>
  <sheetProtection algorithmName="SHA-512" hashValue="Z72Jlg8SHCpxw3oxau61SNa0/SSmirwzDPAxBQP0jeibe3fu/PJWL3f1/Qk34I5HjG8pUlyD0jY6NTuKL5IQKg==" saltValue="wYJiTIyExRIqzWFmlwwXJg==" spinCount="100000" sheet="1" objects="1" scenarios="1"/>
  <mergeCells count="4">
    <mergeCell ref="F17:H17"/>
    <mergeCell ref="F18:H18"/>
    <mergeCell ref="D3:I7"/>
    <mergeCell ref="D10:J16"/>
  </mergeCells>
  <hyperlinks>
    <hyperlink ref="F17:G17" r:id="rId1" display="Video on Required Technology" xr:uid="{6F54CBE5-9F90-4B06-94A1-75B2120C3BD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A1:O28"/>
  <sheetViews>
    <sheetView workbookViewId="0">
      <selection activeCell="H32" sqref="H32"/>
    </sheetView>
  </sheetViews>
  <sheetFormatPr defaultColWidth="8.85546875" defaultRowHeight="15" x14ac:dyDescent="0.25"/>
  <cols>
    <col min="1" max="1" width="3.7109375" customWidth="1"/>
    <col min="2" max="2" width="8.85546875" style="1"/>
    <col min="3" max="3" width="9.7109375" style="1" customWidth="1"/>
    <col min="4" max="5" width="10.42578125" style="1" customWidth="1"/>
    <col min="6" max="6" width="19.140625" customWidth="1"/>
    <col min="7" max="7" width="23.28515625" bestFit="1" customWidth="1"/>
    <col min="8" max="8" width="22.140625" style="13" customWidth="1"/>
    <col min="9" max="9" width="22.28515625" style="3" bestFit="1" customWidth="1"/>
    <col min="10" max="10" width="22.28515625" bestFit="1" customWidth="1"/>
    <col min="12" max="12" width="10.7109375" customWidth="1"/>
    <col min="13" max="13" width="14.85546875" customWidth="1"/>
    <col min="14" max="14" width="17.7109375" customWidth="1"/>
    <col min="15" max="15" width="14" customWidth="1"/>
  </cols>
  <sheetData>
    <row r="1" spans="1:15" ht="15.75" thickBot="1" x14ac:dyDescent="0.3">
      <c r="A1" s="30" t="s">
        <v>12</v>
      </c>
      <c r="L1" s="147" t="str">
        <f ca="1">IF(OR(I2="Excel Desktop",I2="Excel Online"),"","You are not using Excel, please proceed to office.com, log in with your GCU credentials, and install the current Office 365, or use the online versions. Work not completed in Excel must be redone.")</f>
        <v/>
      </c>
      <c r="M1" s="148"/>
      <c r="N1" s="148"/>
      <c r="O1" s="149"/>
    </row>
    <row r="2" spans="1:15" ht="23.1" customHeight="1" thickBot="1" x14ac:dyDescent="0.4">
      <c r="B2" s="31"/>
      <c r="C2" s="141" t="s">
        <v>13</v>
      </c>
      <c r="D2" s="142"/>
      <c r="E2" s="143"/>
      <c r="G2" s="29" t="s">
        <v>14</v>
      </c>
      <c r="H2" s="32" t="s">
        <v>81</v>
      </c>
      <c r="I2" s="139" t="str" cm="1">
        <f t="array" aca="1" ref="I2" ca="1">checksys()</f>
        <v>Excel Desktop</v>
      </c>
      <c r="J2" s="140"/>
      <c r="L2" s="150"/>
      <c r="M2" s="151"/>
      <c r="N2" s="151"/>
      <c r="O2" s="152"/>
    </row>
    <row r="3" spans="1:15" ht="23.1" customHeight="1" thickBot="1" x14ac:dyDescent="0.3">
      <c r="B3" s="31"/>
      <c r="C3" s="141" t="s">
        <v>15</v>
      </c>
      <c r="D3" s="142"/>
      <c r="E3" s="143"/>
      <c r="L3" s="153"/>
      <c r="M3" s="154"/>
      <c r="N3" s="154"/>
      <c r="O3" s="155"/>
    </row>
    <row r="4" spans="1:15" ht="20.100000000000001" customHeight="1" thickBot="1" x14ac:dyDescent="0.3">
      <c r="B4" s="94" t="s">
        <v>16</v>
      </c>
      <c r="C4" s="95"/>
      <c r="D4" s="95"/>
      <c r="E4" s="95"/>
      <c r="F4" s="96"/>
      <c r="M4" s="136" t="s">
        <v>10</v>
      </c>
      <c r="N4" s="137"/>
    </row>
    <row r="5" spans="1:15" ht="15.75" thickBot="1" x14ac:dyDescent="0.3">
      <c r="B5" s="97"/>
      <c r="C5" s="98"/>
      <c r="D5" s="98"/>
      <c r="E5" s="98"/>
      <c r="F5" s="99"/>
      <c r="M5" s="138" t="s">
        <v>11</v>
      </c>
      <c r="N5" s="138"/>
    </row>
    <row r="6" spans="1:15" ht="15.75" x14ac:dyDescent="0.25">
      <c r="B6" s="122" t="s">
        <v>17</v>
      </c>
      <c r="C6" s="123"/>
      <c r="D6" s="103" t="s">
        <v>18</v>
      </c>
      <c r="E6" s="105" t="s">
        <v>19</v>
      </c>
      <c r="F6" s="132" t="s">
        <v>20</v>
      </c>
      <c r="G6" s="110" t="s">
        <v>21</v>
      </c>
      <c r="I6" s="124" t="s">
        <v>22</v>
      </c>
      <c r="J6" s="125"/>
    </row>
    <row r="7" spans="1:15" ht="16.5" thickBot="1" x14ac:dyDescent="0.3">
      <c r="B7" s="6" t="s">
        <v>23</v>
      </c>
      <c r="C7" s="4" t="s">
        <v>24</v>
      </c>
      <c r="D7" s="104"/>
      <c r="E7" s="106"/>
      <c r="F7" s="133"/>
      <c r="G7" s="111"/>
      <c r="I7" s="18" t="s">
        <v>25</v>
      </c>
      <c r="J7" s="19" t="s">
        <v>26</v>
      </c>
    </row>
    <row r="8" spans="1:15" ht="15.75" x14ac:dyDescent="0.25">
      <c r="B8" s="43"/>
      <c r="C8" s="44"/>
      <c r="D8" s="2" t="s">
        <v>27</v>
      </c>
      <c r="E8" s="5" t="s">
        <v>28</v>
      </c>
      <c r="F8" s="40"/>
      <c r="G8" t="s">
        <v>29</v>
      </c>
      <c r="I8" s="20" t="s">
        <v>30</v>
      </c>
      <c r="J8" s="21" t="s">
        <v>31</v>
      </c>
    </row>
    <row r="9" spans="1:15" ht="15.75" x14ac:dyDescent="0.25">
      <c r="B9" s="126" t="s">
        <v>32</v>
      </c>
      <c r="C9" s="127"/>
      <c r="D9" s="2" t="s">
        <v>33</v>
      </c>
      <c r="E9" s="5" t="s">
        <v>34</v>
      </c>
      <c r="F9" s="40"/>
      <c r="G9" t="s">
        <v>35</v>
      </c>
      <c r="I9" s="22" t="s">
        <v>36</v>
      </c>
      <c r="J9" s="21" t="s">
        <v>37</v>
      </c>
    </row>
    <row r="10" spans="1:15" ht="15.75" x14ac:dyDescent="0.25">
      <c r="B10" s="128"/>
      <c r="C10" s="129"/>
      <c r="D10" s="2" t="s">
        <v>38</v>
      </c>
      <c r="E10" s="5" t="s">
        <v>39</v>
      </c>
      <c r="F10" s="40"/>
      <c r="G10" t="s">
        <v>40</v>
      </c>
      <c r="I10" s="23" t="s">
        <v>41</v>
      </c>
      <c r="J10" s="21" t="s">
        <v>42</v>
      </c>
    </row>
    <row r="11" spans="1:15" ht="16.5" thickBot="1" x14ac:dyDescent="0.3">
      <c r="B11" s="128"/>
      <c r="C11" s="129"/>
      <c r="D11" s="2" t="s">
        <v>43</v>
      </c>
      <c r="E11" s="5" t="s">
        <v>44</v>
      </c>
      <c r="F11" s="40"/>
      <c r="G11" t="s">
        <v>45</v>
      </c>
      <c r="I11" s="24" t="s">
        <v>46</v>
      </c>
      <c r="J11" s="25" t="s">
        <v>47</v>
      </c>
    </row>
    <row r="12" spans="1:15" ht="15.75" thickBot="1" x14ac:dyDescent="0.3">
      <c r="B12" s="130"/>
      <c r="C12" s="131"/>
      <c r="D12" s="7" t="s">
        <v>48</v>
      </c>
      <c r="E12" s="8" t="s">
        <v>49</v>
      </c>
      <c r="F12" s="40"/>
      <c r="G12" t="s">
        <v>50</v>
      </c>
    </row>
    <row r="13" spans="1:15" ht="19.5" thickBot="1" x14ac:dyDescent="0.3">
      <c r="B13" s="107" t="s">
        <v>51</v>
      </c>
      <c r="C13" s="108"/>
      <c r="D13" s="108"/>
      <c r="E13" s="108"/>
      <c r="F13" s="109"/>
      <c r="I13" s="144" t="s">
        <v>52</v>
      </c>
      <c r="J13" s="145"/>
      <c r="K13" s="145"/>
      <c r="L13" s="146"/>
    </row>
    <row r="14" spans="1:15" ht="14.45" customHeight="1" x14ac:dyDescent="0.25">
      <c r="B14" s="42"/>
      <c r="C14" s="42"/>
      <c r="D14" s="42"/>
      <c r="E14" s="42"/>
      <c r="F14" s="42"/>
      <c r="H14" s="34" t="s">
        <v>53</v>
      </c>
      <c r="I14" s="156" t="s">
        <v>54</v>
      </c>
      <c r="J14" s="156"/>
      <c r="K14" s="156"/>
      <c r="L14" s="157"/>
      <c r="M14" s="134" t="s">
        <v>55</v>
      </c>
      <c r="N14" s="135"/>
      <c r="O14" s="135"/>
    </row>
    <row r="15" spans="1:15" ht="14.45" customHeight="1" x14ac:dyDescent="0.25">
      <c r="B15" s="13"/>
      <c r="C15" s="13"/>
      <c r="D15" s="13"/>
      <c r="H15" s="35">
        <v>15</v>
      </c>
      <c r="I15" s="120" t="s">
        <v>56</v>
      </c>
      <c r="J15" s="120"/>
      <c r="K15" s="120"/>
      <c r="L15" s="121"/>
    </row>
    <row r="16" spans="1:15" x14ac:dyDescent="0.25">
      <c r="B16" s="13"/>
      <c r="C16" s="13"/>
      <c r="D16" s="13"/>
      <c r="H16" s="27">
        <v>16</v>
      </c>
      <c r="I16" s="112" t="s">
        <v>57</v>
      </c>
      <c r="J16" s="112"/>
      <c r="K16" s="112"/>
      <c r="L16" s="113"/>
    </row>
    <row r="17" spans="2:12" ht="17.100000000000001" customHeight="1" thickBot="1" x14ac:dyDescent="0.3">
      <c r="B17" s="12"/>
      <c r="H17" s="28">
        <v>16</v>
      </c>
      <c r="I17" s="114" t="s">
        <v>58</v>
      </c>
      <c r="J17" s="114"/>
      <c r="K17" s="114"/>
      <c r="L17" s="115"/>
    </row>
    <row r="18" spans="2:12" ht="17.100000000000001" customHeight="1" x14ac:dyDescent="0.25">
      <c r="B18" s="94" t="s">
        <v>59</v>
      </c>
      <c r="C18" s="95"/>
      <c r="D18" s="95"/>
      <c r="E18" s="95"/>
      <c r="F18" s="96"/>
    </row>
    <row r="19" spans="2:12" ht="15.75" thickBot="1" x14ac:dyDescent="0.3">
      <c r="B19" s="97"/>
      <c r="C19" s="98"/>
      <c r="D19" s="98"/>
      <c r="E19" s="98"/>
      <c r="F19" s="99"/>
    </row>
    <row r="20" spans="2:12" ht="15.75" thickBot="1" x14ac:dyDescent="0.3">
      <c r="B20" s="100" t="s">
        <v>80</v>
      </c>
      <c r="C20" s="100"/>
      <c r="D20" s="100"/>
      <c r="E20" s="10" t="s">
        <v>60</v>
      </c>
      <c r="F20" s="11" t="s">
        <v>61</v>
      </c>
      <c r="G20" s="9" t="s">
        <v>62</v>
      </c>
      <c r="H20" s="17"/>
      <c r="I20" s="118" t="s">
        <v>63</v>
      </c>
      <c r="J20" s="119"/>
    </row>
    <row r="21" spans="2:12" ht="14.45" customHeight="1" x14ac:dyDescent="0.25">
      <c r="B21" s="101"/>
      <c r="C21" s="101"/>
      <c r="D21" s="101"/>
      <c r="E21" s="33"/>
      <c r="F21" s="2" t="s">
        <v>64</v>
      </c>
      <c r="G21" s="5" t="s">
        <v>65</v>
      </c>
      <c r="H21" s="41"/>
      <c r="I21" s="116" t="s">
        <v>66</v>
      </c>
      <c r="J21" s="116"/>
    </row>
    <row r="22" spans="2:12" x14ac:dyDescent="0.25">
      <c r="B22" s="101"/>
      <c r="C22" s="101"/>
      <c r="D22" s="101"/>
      <c r="E22" s="33"/>
      <c r="F22" s="2" t="s">
        <v>67</v>
      </c>
      <c r="G22" s="5" t="s">
        <v>68</v>
      </c>
      <c r="H22" s="41"/>
      <c r="I22" s="117" t="s">
        <v>69</v>
      </c>
      <c r="J22" s="117"/>
    </row>
    <row r="23" spans="2:12" ht="14.45" customHeight="1" x14ac:dyDescent="0.25">
      <c r="B23" s="101"/>
      <c r="C23" s="101"/>
      <c r="D23" s="101"/>
      <c r="E23" s="33"/>
      <c r="F23" s="2" t="s">
        <v>70</v>
      </c>
      <c r="G23" s="5" t="s">
        <v>71</v>
      </c>
      <c r="H23" s="41"/>
      <c r="I23" s="117" t="s">
        <v>72</v>
      </c>
      <c r="J23" s="117"/>
    </row>
    <row r="24" spans="2:12" x14ac:dyDescent="0.25">
      <c r="B24" s="101"/>
      <c r="C24" s="101"/>
      <c r="D24" s="101"/>
      <c r="E24" s="33"/>
      <c r="F24" s="102" t="s">
        <v>73</v>
      </c>
      <c r="G24" s="102"/>
      <c r="H24" s="36"/>
      <c r="I24" s="37"/>
      <c r="J24" s="37"/>
    </row>
    <row r="25" spans="2:12" x14ac:dyDescent="0.25">
      <c r="B25" s="101"/>
      <c r="C25" s="101"/>
      <c r="D25" s="101"/>
      <c r="E25" s="33"/>
      <c r="F25" s="102"/>
      <c r="G25" s="102"/>
      <c r="H25" s="38"/>
      <c r="I25" s="39"/>
      <c r="J25" s="39"/>
    </row>
    <row r="26" spans="2:12" x14ac:dyDescent="0.25">
      <c r="B26" s="101"/>
      <c r="C26" s="101"/>
      <c r="D26" s="101"/>
      <c r="E26" s="33"/>
      <c r="F26" s="102"/>
      <c r="G26" s="102"/>
      <c r="H26" s="38"/>
      <c r="I26" s="39"/>
      <c r="J26" s="39"/>
    </row>
    <row r="27" spans="2:12" x14ac:dyDescent="0.25">
      <c r="B27" s="101"/>
      <c r="C27" s="101"/>
      <c r="D27" s="101"/>
      <c r="E27" s="33"/>
      <c r="F27" s="102"/>
      <c r="G27" s="102"/>
      <c r="H27" s="38"/>
      <c r="I27" s="39"/>
      <c r="J27" s="39"/>
    </row>
    <row r="28" spans="2:12" ht="17.45" customHeight="1" x14ac:dyDescent="0.25">
      <c r="B28" s="101"/>
      <c r="C28" s="101"/>
      <c r="D28" s="101"/>
      <c r="E28" s="33"/>
      <c r="F28" s="102"/>
      <c r="G28" s="102"/>
      <c r="H28" s="38"/>
      <c r="I28" s="39"/>
      <c r="J28" s="39"/>
    </row>
  </sheetData>
  <sheetProtection algorithmName="SHA-512" hashValue="BLIAlMBPgqH+NPEse4s68RjHq+iBp2ZxiPwbr85ja6anELCVKxbZV0o63eupwo+XV0ZheD91KVylaqjLC4V1wA==" saltValue="5R/Fmu0ewxRZ2Clu6FEY8g==" spinCount="100000" sheet="1" formatCells="0" formatColumns="0" formatRows="0"/>
  <mergeCells count="28">
    <mergeCell ref="M14:O14"/>
    <mergeCell ref="M4:N4"/>
    <mergeCell ref="M5:N5"/>
    <mergeCell ref="I2:J2"/>
    <mergeCell ref="C2:E2"/>
    <mergeCell ref="I13:L13"/>
    <mergeCell ref="C3:E3"/>
    <mergeCell ref="L1:O3"/>
    <mergeCell ref="I14:L14"/>
    <mergeCell ref="I15:L15"/>
    <mergeCell ref="B4:F5"/>
    <mergeCell ref="B6:C6"/>
    <mergeCell ref="I6:J6"/>
    <mergeCell ref="B9:C12"/>
    <mergeCell ref="F6:F7"/>
    <mergeCell ref="I16:L16"/>
    <mergeCell ref="I17:L17"/>
    <mergeCell ref="I21:J21"/>
    <mergeCell ref="I22:J22"/>
    <mergeCell ref="I23:J23"/>
    <mergeCell ref="I20:J20"/>
    <mergeCell ref="B18:F19"/>
    <mergeCell ref="B20:D28"/>
    <mergeCell ref="F24:G28"/>
    <mergeCell ref="D6:D7"/>
    <mergeCell ref="E6:E7"/>
    <mergeCell ref="B13:F13"/>
    <mergeCell ref="G6:G7"/>
  </mergeCells>
  <conditionalFormatting sqref="B8:C8 F8:F12 H21:H23 E21:E28">
    <cfRule type="expression" dxfId="10" priority="1">
      <formula>OR($H$2="Your Name Here",$I$2="Google Sheets",$I$2="Apple Numbers")</formula>
    </cfRule>
  </conditionalFormatting>
  <conditionalFormatting sqref="H21:H23 F8:F12">
    <cfRule type="expression" dxfId="5" priority="9" stopIfTrue="1">
      <formula>NOT(OR(ISBLANK(F8),_xlfn.ISFORMULA(F8)))</formula>
    </cfRule>
  </conditionalFormatting>
  <conditionalFormatting sqref="H21:H23">
    <cfRule type="expression" dxfId="2" priority="12">
      <formula>AND(NOT(ISBLANK(H21)),CHECKRANGE(H21))</formula>
    </cfRule>
  </conditionalFormatting>
  <conditionalFormatting sqref="L1:O3">
    <cfRule type="expression" dxfId="0" priority="8">
      <formula>OR($I$2="Excel Desktop",$I$2="Excel Online")</formula>
    </cfRule>
  </conditionalFormatting>
  <hyperlinks>
    <hyperlink ref="C2" r:id="rId1" display="Video for this DQ" xr:uid="{BC6F4949-EDE2-4498-A4F4-4C9C249BD576}"/>
    <hyperlink ref="C2:E2" r:id="rId2" display="Video Instructions" xr:uid="{283AA2B3-8B54-4583-8FBC-A0CEFAFE94BC}"/>
    <hyperlink ref="M4:N4" r:id="rId3" display="Video on Required Technology" xr:uid="{4DDEB508-0E13-4C17-A721-DAA9DF001162}"/>
    <hyperlink ref="C3:E3" r:id="rId4" display="Video on Formatting" xr:uid="{9B9E579A-68BB-4EF5-95FE-51493CCC0CFF}"/>
  </hyperlinks>
  <pageMargins left="0.7" right="0.7" top="0.75" bottom="0.75" header="0.3" footer="0.3"/>
  <pageSetup orientation="portrait" r:id="rId5"/>
  <legacyDrawing r:id="rId6"/>
  <extLst>
    <ext xmlns:x14="http://schemas.microsoft.com/office/spreadsheetml/2009/9/main" uri="{78C0D931-6437-407d-A8EE-F0AAD7539E65}">
      <x14:conditionalFormattings>
        <x14:conditionalFormatting xmlns:xm="http://schemas.microsoft.com/office/excel/2006/main">
          <x14:cfRule type="expression" priority="3" id="{48BE6E30-368C-46F2-A17C-55EE0E730505}">
            <xm:f>Solutions!$G$11</xm:f>
            <x14:dxf>
              <font>
                <b/>
                <i val="0"/>
                <color rgb="FFC00000"/>
              </font>
              <fill>
                <patternFill>
                  <bgColor rgb="FFFFFF00"/>
                </patternFill>
              </fill>
            </x14:dxf>
          </x14:cfRule>
          <xm:sqref>B13:F13</xm:sqref>
        </x14:conditionalFormatting>
        <x14:conditionalFormatting xmlns:xm="http://schemas.microsoft.com/office/excel/2006/main">
          <x14:cfRule type="expression" priority="4" id="{D4A0B340-8D6F-4A8E-997D-67D86CA7F690}">
            <xm:f>NOT(AND(ABS(F8-Solutions!F6)&lt;0.001,NOT(ISBLANK(F8))))</xm:f>
            <x14:dxf>
              <font>
                <b/>
                <i val="0"/>
                <color rgb="FFC00000"/>
              </font>
            </x14:dxf>
          </x14:cfRule>
          <x14:cfRule type="expression" priority="5" id="{E396596F-5F9E-4FFE-B77D-95AEC73C56C6}">
            <xm:f>AND(ABS(F8-Solutions!F6)&lt;0.001,NOT(ISBLANK(F8)))</xm:f>
            <x14:dxf>
              <font>
                <b/>
                <i val="0"/>
                <color rgb="FF00B050"/>
              </font>
            </x14:dxf>
          </x14:cfRule>
          <x14:cfRule type="expression" priority="10" id="{00000000-000E-0000-0100-00000A000000}">
            <xm:f>AND(NOT(ISBLANK(F8)),Solutions!$H6)</xm:f>
            <x14:dxf>
              <fill>
                <patternFill patternType="lightGray">
                  <fgColor theme="1"/>
                  <bgColor rgb="FFFFFF00"/>
                </patternFill>
              </fill>
            </x14:dxf>
          </x14:cfRule>
          <xm:sqref>F8:F12</xm:sqref>
        </x14:conditionalFormatting>
        <x14:conditionalFormatting xmlns:xm="http://schemas.microsoft.com/office/excel/2006/main">
          <x14:cfRule type="expression" priority="6" id="{656F852E-184D-4316-86BE-C25EC7CBF240}">
            <xm:f>NOT(AND(ABS(H21-Solutions!H16)&lt;0.001,NOT(ISBLANK(H21))))</xm:f>
            <x14:dxf>
              <font>
                <b/>
                <i val="0"/>
                <color rgb="FFC00000"/>
              </font>
            </x14:dxf>
          </x14:cfRule>
          <x14:cfRule type="expression" priority="7" id="{1230477C-C0FC-4FE4-A213-2370E430F3FD}">
            <xm:f>AND(ABS(H21-Solutions!H16)&lt;0.001,NOT(ISBLANK(H21)))</xm:f>
            <x14:dxf>
              <font>
                <b/>
                <i val="0"/>
                <color rgb="FF00B050"/>
              </font>
            </x14:dxf>
          </x14:cfRule>
          <xm:sqref>H21:H23</xm:sqref>
        </x14:conditionalFormatting>
        <x14:conditionalFormatting xmlns:xm="http://schemas.microsoft.com/office/excel/2006/main">
          <x14:cfRule type="expression" priority="2" id="{36D50B45-8258-4175-A324-47B926696A75}">
            <xm:f>Solutions!$I16</xm:f>
            <x14:dxf>
              <font>
                <b/>
                <i val="0"/>
                <color rgb="FFC00000"/>
              </font>
              <fill>
                <patternFill>
                  <bgColor rgb="FFFFFF00"/>
                </patternFill>
              </fill>
            </x14:dxf>
          </x14:cfRule>
          <xm:sqref>I21:J23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C971-851F-47D6-891B-0D146EC990A5}">
  <dimension ref="A1:M21"/>
  <sheetViews>
    <sheetView workbookViewId="0">
      <selection sqref="A1:XFD1048576"/>
    </sheetView>
  </sheetViews>
  <sheetFormatPr defaultRowHeight="15" x14ac:dyDescent="0.25"/>
  <cols>
    <col min="1" max="1" width="9.140625" style="1"/>
  </cols>
  <sheetData>
    <row r="1" spans="1:13" x14ac:dyDescent="0.25">
      <c r="A1" s="1" t="s">
        <v>82</v>
      </c>
      <c r="B1" t="s">
        <v>83</v>
      </c>
      <c r="C1" s="193">
        <v>1</v>
      </c>
      <c r="F1" s="192" t="str">
        <f ca="1">IF(M1="ACTIVE", "✓ Tracking Active", "⚠️ ERROR: Enable Iterative Calculations (File &gt; Options &gt; Formulas)")</f>
        <v>✓ Tracking Active</v>
      </c>
      <c r="G1" s="192"/>
      <c r="H1" s="192"/>
      <c r="I1" s="192"/>
      <c r="J1" s="192"/>
      <c r="K1" s="192"/>
      <c r="L1" s="192"/>
      <c r="M1" s="1" t="str">
        <f ca="1">IF(M1="ACTIVE", "ACTIVE", "ACTIVE")</f>
        <v>ACTIVE</v>
      </c>
    </row>
    <row r="2" spans="1:13" x14ac:dyDescent="0.25">
      <c r="A2" s="1" t="str">
        <f ca="1">IF('Basic Excel Formulas'!H$2&lt;&gt;A3,A3,A2)</f>
        <v/>
      </c>
    </row>
    <row r="3" spans="1:13" x14ac:dyDescent="0.25">
      <c r="A3" s="1" t="str">
        <f ca="1">IF('Basic Excel Formulas'!H$2&lt;&gt;A4,A4,A3)</f>
        <v/>
      </c>
    </row>
    <row r="4" spans="1:13" x14ac:dyDescent="0.25">
      <c r="A4" s="1" t="str">
        <f ca="1">IF('Basic Excel Formulas'!H$2&lt;&gt;A5,A5,A4)</f>
        <v/>
      </c>
    </row>
    <row r="5" spans="1:13" x14ac:dyDescent="0.25">
      <c r="A5" s="1" t="str">
        <f ca="1">IF('Basic Excel Formulas'!H$2&lt;&gt;A6,A6,A5)</f>
        <v/>
      </c>
    </row>
    <row r="6" spans="1:13" x14ac:dyDescent="0.25">
      <c r="A6" s="1" t="str">
        <f ca="1">IF('Basic Excel Formulas'!H$2&lt;&gt;A7,A7,A6)</f>
        <v/>
      </c>
    </row>
    <row r="7" spans="1:13" x14ac:dyDescent="0.25">
      <c r="A7" s="1" t="str">
        <f ca="1">IF('Basic Excel Formulas'!H$2&lt;&gt;A8,A8,A7)</f>
        <v/>
      </c>
    </row>
    <row r="8" spans="1:13" x14ac:dyDescent="0.25">
      <c r="A8" s="1" t="str">
        <f ca="1">IF('Basic Excel Formulas'!H$2&lt;&gt;A9,A9,A8)</f>
        <v/>
      </c>
    </row>
    <row r="9" spans="1:13" x14ac:dyDescent="0.25">
      <c r="A9" s="1" t="str">
        <f ca="1">IF('Basic Excel Formulas'!H$2&lt;&gt;A10,A10,A9)</f>
        <v/>
      </c>
    </row>
    <row r="10" spans="1:13" x14ac:dyDescent="0.25">
      <c r="A10" s="1" t="str">
        <f ca="1">IF('Basic Excel Formulas'!H$2&lt;&gt;A11,A11,A10)</f>
        <v/>
      </c>
    </row>
    <row r="11" spans="1:13" x14ac:dyDescent="0.25">
      <c r="A11" s="1" t="str">
        <f ca="1">IF('Basic Excel Formulas'!H$2&lt;&gt;A12,A12,A11)</f>
        <v/>
      </c>
    </row>
    <row r="12" spans="1:13" x14ac:dyDescent="0.25">
      <c r="A12" s="1" t="str">
        <f ca="1">IF('Basic Excel Formulas'!H$2&lt;&gt;A13,A13,A12)</f>
        <v/>
      </c>
    </row>
    <row r="13" spans="1:13" x14ac:dyDescent="0.25">
      <c r="A13" s="1" t="str">
        <f ca="1">IF('Basic Excel Formulas'!H$2&lt;&gt;A14,A14,A13)</f>
        <v/>
      </c>
    </row>
    <row r="14" spans="1:13" x14ac:dyDescent="0.25">
      <c r="A14" s="1" t="str">
        <f ca="1">IF('Basic Excel Formulas'!H$2&lt;&gt;A15,A15,A14)</f>
        <v/>
      </c>
    </row>
    <row r="15" spans="1:13" x14ac:dyDescent="0.25">
      <c r="A15" s="1" t="str">
        <f ca="1">IF('Basic Excel Formulas'!H$2&lt;&gt;A16,A16,A15)</f>
        <v/>
      </c>
    </row>
    <row r="16" spans="1:13" x14ac:dyDescent="0.25">
      <c r="A16" s="1" t="str">
        <f ca="1">IF('Basic Excel Formulas'!H$2&lt;&gt;A17,A17,A16)</f>
        <v/>
      </c>
    </row>
    <row r="17" spans="1:1" x14ac:dyDescent="0.25">
      <c r="A17" s="1" t="str">
        <f ca="1">IF('Basic Excel Formulas'!H$2&lt;&gt;A18,A18,A17)</f>
        <v/>
      </c>
    </row>
    <row r="18" spans="1:1" x14ac:dyDescent="0.25">
      <c r="A18" s="1" t="str">
        <f ca="1">IF('Basic Excel Formulas'!H$2&lt;&gt;A19,A19,A18)</f>
        <v/>
      </c>
    </row>
    <row r="19" spans="1:1" x14ac:dyDescent="0.25">
      <c r="A19" s="1" t="str">
        <f ca="1">IF('Basic Excel Formulas'!H$2&lt;&gt;A20,A20,A19)</f>
        <v/>
      </c>
    </row>
    <row r="20" spans="1:1" x14ac:dyDescent="0.25">
      <c r="A20" s="1" t="str">
        <f ca="1">IF('Basic Excel Formulas'!H$2&lt;&gt;A21,A21,A20)</f>
        <v/>
      </c>
    </row>
    <row r="21" spans="1:1" x14ac:dyDescent="0.25">
      <c r="A21" s="1" t="str">
        <f ca="1">IF(C$1="","",IF('Basic Excel Formulas'!H$2&lt;&gt;A21,'Basic Excel Formulas'!H$2,A21))</f>
        <v>Your Name Here</v>
      </c>
    </row>
  </sheetData>
  <sheetProtection algorithmName="SHA-512" hashValue="buGetn6FOVTsLzeoKHutap1K9LElzOSIyBuEL+1QrE+hHN8SECVE9wIUOzGasnFCKh5ijjUSrXdMNwtlVIMJFw==" saltValue="fO1W8kXOsA43sZhUhgOW2g==" spinCount="100000" sheet="1" objects="1" scenarios="1"/>
  <mergeCells count="1">
    <mergeCell ref="F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1:O25"/>
  <sheetViews>
    <sheetView topLeftCell="A15" workbookViewId="0">
      <selection activeCell="H50" sqref="H50"/>
    </sheetView>
  </sheetViews>
  <sheetFormatPr defaultColWidth="8.85546875" defaultRowHeight="15" x14ac:dyDescent="0.25"/>
  <cols>
    <col min="1" max="1" width="3.7109375" style="46" customWidth="1"/>
    <col min="2" max="3" width="8.85546875" style="45"/>
    <col min="4" max="5" width="10.42578125" style="45" customWidth="1"/>
    <col min="6" max="6" width="17.42578125" style="46" customWidth="1"/>
    <col min="7" max="7" width="23.28515625" style="46" bestFit="1" customWidth="1"/>
    <col min="8" max="8" width="26.140625" style="47" customWidth="1"/>
    <col min="9" max="9" width="22.28515625" style="48" bestFit="1" customWidth="1"/>
    <col min="10" max="10" width="22.28515625" style="46" bestFit="1" customWidth="1"/>
    <col min="11" max="16384" width="8.85546875" style="46"/>
  </cols>
  <sheetData>
    <row r="1" spans="2:15" ht="15.75" thickBot="1" x14ac:dyDescent="0.3"/>
    <row r="2" spans="2:15" x14ac:dyDescent="0.25">
      <c r="B2" s="158" t="s">
        <v>16</v>
      </c>
      <c r="C2" s="159"/>
      <c r="D2" s="159"/>
      <c r="E2" s="159"/>
      <c r="F2" s="160"/>
      <c r="L2" s="46">
        <v>1</v>
      </c>
      <c r="M2" s="46">
        <v>1</v>
      </c>
      <c r="N2" s="46" cm="1">
        <f t="array" ref="N2:N5">L2:L5+M2:M5</f>
        <v>2</v>
      </c>
      <c r="O2" s="46">
        <f>SUM(_xlfn.ANCHORARRAY(N2))</f>
        <v>20</v>
      </c>
    </row>
    <row r="3" spans="2:15" ht="15.75" thickBot="1" x14ac:dyDescent="0.3">
      <c r="B3" s="161"/>
      <c r="C3" s="162"/>
      <c r="D3" s="162"/>
      <c r="E3" s="162"/>
      <c r="F3" s="163"/>
      <c r="L3" s="46">
        <v>2</v>
      </c>
      <c r="M3" s="46">
        <v>2</v>
      </c>
      <c r="N3" s="46">
        <v>4</v>
      </c>
    </row>
    <row r="4" spans="2:15" x14ac:dyDescent="0.25">
      <c r="B4" s="164" t="s">
        <v>17</v>
      </c>
      <c r="C4" s="165"/>
      <c r="D4" s="166" t="s">
        <v>18</v>
      </c>
      <c r="E4" s="168" t="s">
        <v>19</v>
      </c>
      <c r="F4" s="170" t="s">
        <v>20</v>
      </c>
      <c r="G4" s="45"/>
      <c r="L4" s="46">
        <v>3</v>
      </c>
      <c r="M4" s="46">
        <v>3</v>
      </c>
      <c r="N4" s="46">
        <v>6</v>
      </c>
    </row>
    <row r="5" spans="2:15" x14ac:dyDescent="0.25">
      <c r="B5" s="49" t="s">
        <v>23</v>
      </c>
      <c r="C5" s="50" t="s">
        <v>24</v>
      </c>
      <c r="D5" s="167"/>
      <c r="E5" s="169"/>
      <c r="F5" s="171"/>
      <c r="L5" s="46">
        <v>4</v>
      </c>
      <c r="M5" s="46">
        <v>4</v>
      </c>
      <c r="N5" s="46">
        <v>8</v>
      </c>
    </row>
    <row r="6" spans="2:15" x14ac:dyDescent="0.25">
      <c r="B6" s="49"/>
      <c r="C6" s="50"/>
      <c r="D6" s="51" t="s">
        <v>27</v>
      </c>
      <c r="E6" s="52" t="s">
        <v>28</v>
      </c>
      <c r="F6" s="53">
        <f>'Basic Excel Formulas'!B8+'Basic Excel Formulas'!C8</f>
        <v>0</v>
      </c>
      <c r="G6" s="46" t="b" cm="1">
        <f t="array" aca="1" ref="G6" ca="1">AND(NOT(ISBLANK('Basic Excel Formulas'!F8)),IFERROR(MID(CELL("format",'Basic Excel Formulas'!F8),2,1)-2&lt;&gt;0,checksys()="Excel Desktop"))</f>
        <v>0</v>
      </c>
      <c r="H6" s="47" t="b" cm="1">
        <f t="array" aca="1" ref="H6" ca="1">CHECKSUM('Basic Excel Formulas'!F8)</f>
        <v>0</v>
      </c>
    </row>
    <row r="7" spans="2:15" x14ac:dyDescent="0.25">
      <c r="B7" s="174" t="s">
        <v>74</v>
      </c>
      <c r="C7" s="175"/>
      <c r="D7" s="51" t="s">
        <v>33</v>
      </c>
      <c r="E7" s="52" t="s">
        <v>34</v>
      </c>
      <c r="F7" s="53">
        <f>'Basic Excel Formulas'!B8-'Basic Excel Formulas'!C8</f>
        <v>0</v>
      </c>
      <c r="G7" s="46" t="b" cm="1">
        <f t="array" aca="1" ref="G7" ca="1">AND(NOT(ISBLANK('Basic Excel Formulas'!F9)),IFERROR(MID(CELL("format",'Basic Excel Formulas'!F9),2,1)-2&lt;&gt;0,checksys()="Excel Desktop"))</f>
        <v>0</v>
      </c>
      <c r="H7" s="47" t="b" cm="1">
        <f t="array" aca="1" ref="H7" ca="1">CHECKSUB('Basic Excel Formulas'!F9)</f>
        <v>0</v>
      </c>
    </row>
    <row r="8" spans="2:15" x14ac:dyDescent="0.25">
      <c r="B8" s="176"/>
      <c r="C8" s="177"/>
      <c r="D8" s="51" t="s">
        <v>38</v>
      </c>
      <c r="E8" s="52" t="s">
        <v>39</v>
      </c>
      <c r="F8" s="53">
        <f>'Basic Excel Formulas'!B8*'Basic Excel Formulas'!C8</f>
        <v>0</v>
      </c>
      <c r="G8" s="46" t="b" cm="1">
        <f t="array" aca="1" ref="G8" ca="1">AND(NOT(ISBLANK('Basic Excel Formulas'!F10)),IFERROR(MID(CELL("format",'Basic Excel Formulas'!F10),2,1)-2&lt;&gt;0,checksys()="Excel Desktop"))</f>
        <v>0</v>
      </c>
      <c r="H8" s="47" t="b" cm="1">
        <f t="array" aca="1" ref="H8" ca="1">CHECKMULT('Basic Excel Formulas'!F10)</f>
        <v>0</v>
      </c>
      <c r="M8" s="47"/>
      <c r="N8" s="48"/>
    </row>
    <row r="9" spans="2:15" x14ac:dyDescent="0.25">
      <c r="B9" s="176"/>
      <c r="C9" s="177"/>
      <c r="D9" s="51" t="s">
        <v>43</v>
      </c>
      <c r="E9" s="52" t="s">
        <v>44</v>
      </c>
      <c r="F9" s="53" t="e">
        <f>'Basic Excel Formulas'!B8/'Basic Excel Formulas'!C8</f>
        <v>#DIV/0!</v>
      </c>
      <c r="G9" s="46" t="b" cm="1">
        <f t="array" aca="1" ref="G9" ca="1">AND(NOT(ISBLANK('Basic Excel Formulas'!F11)),IFERROR(MID(CELL("format",'Basic Excel Formulas'!F11),2,1)-2&lt;&gt;0,checksys()="Excel Desktop"))</f>
        <v>0</v>
      </c>
      <c r="H9" s="47" t="b" cm="1">
        <f t="array" aca="1" ref="H9" ca="1">CHECKDIV('Basic Excel Formulas'!F11)</f>
        <v>0</v>
      </c>
      <c r="M9" s="54" t="s">
        <v>14</v>
      </c>
      <c r="N9" s="55"/>
    </row>
    <row r="10" spans="2:15" ht="15.75" thickBot="1" x14ac:dyDescent="0.3">
      <c r="B10" s="178"/>
      <c r="C10" s="179"/>
      <c r="D10" s="56" t="s">
        <v>48</v>
      </c>
      <c r="E10" s="57" t="s">
        <v>49</v>
      </c>
      <c r="F10" s="58" t="e">
        <f>'Basic Excel Formulas'!B8^'Basic Excel Formulas'!C8</f>
        <v>#NUM!</v>
      </c>
      <c r="G10" s="46" t="b" cm="1">
        <f t="array" aca="1" ref="G10" ca="1">AND(NOT(ISBLANK('Basic Excel Formulas'!F12)),IFERROR(MID(CELL("format",'Basic Excel Formulas'!F12),2,1)-2&lt;&gt;0,checksys()="Excel Desktop"))</f>
        <v>0</v>
      </c>
      <c r="H10" s="47" t="b" cm="1">
        <f t="array" aca="1" ref="H10" ca="1">CHECKPOW('Basic Excel Formulas'!F12)</f>
        <v>0</v>
      </c>
      <c r="M10" s="47"/>
      <c r="N10" s="48"/>
    </row>
    <row r="11" spans="2:15" ht="15.75" thickBot="1" x14ac:dyDescent="0.3">
      <c r="G11" s="46" t="b">
        <f ca="1">OR(G6:G10)</f>
        <v>0</v>
      </c>
      <c r="M11" s="47"/>
      <c r="N11" s="48"/>
    </row>
    <row r="12" spans="2:15" ht="17.25" thickTop="1" thickBot="1" x14ac:dyDescent="0.3">
      <c r="B12" s="59"/>
      <c r="I12" s="46"/>
      <c r="M12" s="172" t="s">
        <v>75</v>
      </c>
      <c r="N12" s="173"/>
    </row>
    <row r="13" spans="2:15" ht="15.75" x14ac:dyDescent="0.25">
      <c r="B13" s="158" t="s">
        <v>59</v>
      </c>
      <c r="C13" s="159"/>
      <c r="D13" s="159"/>
      <c r="E13" s="159"/>
      <c r="F13" s="160"/>
      <c r="M13" s="60" t="s">
        <v>25</v>
      </c>
      <c r="N13" s="61" t="s">
        <v>26</v>
      </c>
    </row>
    <row r="14" spans="2:15" ht="17.100000000000001" customHeight="1" thickBot="1" x14ac:dyDescent="0.3">
      <c r="B14" s="161"/>
      <c r="C14" s="162"/>
      <c r="D14" s="162"/>
      <c r="E14" s="162"/>
      <c r="F14" s="163"/>
      <c r="M14" s="60" t="s">
        <v>30</v>
      </c>
      <c r="N14" s="61" t="s">
        <v>31</v>
      </c>
    </row>
    <row r="15" spans="2:15" ht="17.100000000000001" customHeight="1" x14ac:dyDescent="0.25">
      <c r="B15" s="180" t="s">
        <v>76</v>
      </c>
      <c r="C15" s="180"/>
      <c r="D15" s="180"/>
      <c r="E15" s="62" t="s">
        <v>60</v>
      </c>
      <c r="F15" s="63" t="s">
        <v>61</v>
      </c>
      <c r="G15" s="64" t="s">
        <v>62</v>
      </c>
      <c r="H15" s="65" t="s">
        <v>77</v>
      </c>
      <c r="M15" s="60" t="s">
        <v>36</v>
      </c>
      <c r="N15" s="61" t="s">
        <v>37</v>
      </c>
    </row>
    <row r="16" spans="2:15" ht="15.75" x14ac:dyDescent="0.25">
      <c r="B16" s="181"/>
      <c r="C16" s="181"/>
      <c r="D16" s="181"/>
      <c r="E16" s="66"/>
      <c r="F16" s="51" t="s">
        <v>64</v>
      </c>
      <c r="G16" s="52" t="s">
        <v>65</v>
      </c>
      <c r="H16" s="67" t="e">
        <f>AVERAGE('Basic Excel Formulas'!E21:E28)</f>
        <v>#DIV/0!</v>
      </c>
      <c r="I16" s="48" t="b" cm="1">
        <f t="array" aca="1" ref="I16" ca="1">AND(NOT(ISBLANK('Basic Excel Formulas'!H21)),IFERROR(MID(CELL("format",'Basic Excel Formulas'!H21),2,1)-2&lt;&gt;0,checksys()="Excel Desktop"))</f>
        <v>0</v>
      </c>
      <c r="M16" s="60" t="s">
        <v>41</v>
      </c>
      <c r="N16" s="61" t="s">
        <v>42</v>
      </c>
    </row>
    <row r="17" spans="2:14" ht="16.5" thickBot="1" x14ac:dyDescent="0.3">
      <c r="B17" s="181"/>
      <c r="C17" s="181"/>
      <c r="D17" s="181"/>
      <c r="E17" s="66"/>
      <c r="F17" s="51" t="s">
        <v>67</v>
      </c>
      <c r="G17" s="52" t="s">
        <v>68</v>
      </c>
      <c r="H17" s="67">
        <f>SUM('Basic Excel Formulas'!E21:E28)</f>
        <v>0</v>
      </c>
      <c r="I17" s="48" t="b" cm="1">
        <f t="array" aca="1" ref="I17" ca="1">AND(NOT(ISBLANK('Basic Excel Formulas'!H22)),IFERROR(MID(CELL("format",'Basic Excel Formulas'!H22),2,1)-1&lt;&gt;0,checksys()="Excel Desktop"))</f>
        <v>0</v>
      </c>
      <c r="M17" s="68" t="s">
        <v>46</v>
      </c>
      <c r="N17" s="69" t="s">
        <v>47</v>
      </c>
    </row>
    <row r="18" spans="2:14" ht="14.45" customHeight="1" thickTop="1" x14ac:dyDescent="0.25">
      <c r="B18" s="181"/>
      <c r="C18" s="181"/>
      <c r="D18" s="181"/>
      <c r="E18" s="66"/>
      <c r="F18" s="51" t="s">
        <v>70</v>
      </c>
      <c r="G18" s="52" t="s">
        <v>71</v>
      </c>
      <c r="H18" s="67">
        <f>PRODUCT('Basic Excel Formulas'!E21:E28)</f>
        <v>0</v>
      </c>
      <c r="I18" s="48" t="b" cm="1">
        <f t="array" aca="1" ref="I18" ca="1">AND(NOT(ISBLANK('Basic Excel Formulas'!H23)),IFERROR(MID(CELL("format",'Basic Excel Formulas'!H23),2,1)-3&lt;&gt;0,checksys()="Excel Desktop"))</f>
        <v>0</v>
      </c>
    </row>
    <row r="19" spans="2:14" x14ac:dyDescent="0.25">
      <c r="B19" s="181"/>
      <c r="C19" s="181"/>
      <c r="D19" s="181"/>
      <c r="E19" s="66"/>
      <c r="F19" s="182" t="s">
        <v>78</v>
      </c>
      <c r="G19" s="182"/>
    </row>
    <row r="20" spans="2:14" ht="14.45" customHeight="1" x14ac:dyDescent="0.25">
      <c r="B20" s="181"/>
      <c r="C20" s="181"/>
      <c r="D20" s="181"/>
      <c r="E20" s="66"/>
      <c r="F20" s="182"/>
      <c r="G20" s="182"/>
    </row>
    <row r="21" spans="2:14" x14ac:dyDescent="0.25">
      <c r="B21" s="181"/>
      <c r="C21" s="181"/>
      <c r="D21" s="181"/>
      <c r="E21" s="66"/>
      <c r="F21" s="182"/>
      <c r="G21" s="182"/>
    </row>
    <row r="22" spans="2:14" x14ac:dyDescent="0.25">
      <c r="B22" s="181"/>
      <c r="C22" s="181"/>
      <c r="D22" s="181"/>
      <c r="E22" s="66"/>
      <c r="F22" s="182"/>
      <c r="G22" s="182"/>
    </row>
    <row r="23" spans="2:14" x14ac:dyDescent="0.25">
      <c r="B23" s="181"/>
      <c r="C23" s="181"/>
      <c r="D23" s="181"/>
      <c r="E23" s="66"/>
      <c r="F23" s="182"/>
      <c r="G23" s="182"/>
    </row>
    <row r="25" spans="2:14" ht="17.45" customHeight="1" x14ac:dyDescent="0.25"/>
  </sheetData>
  <sheetProtection algorithmName="SHA-512" hashValue="OpD0C6psjTe/kStoo1h7yvA+15jkxfWm/NBH5QdNDZMthMHZ8e+D8fccabo00cUHiBPBG012UpwlWS/LhPlnkg==" saltValue="T+6KfbnqR49JhNBhr/3oaA==" spinCount="100000" sheet="1" objects="1" scenarios="1"/>
  <mergeCells count="10">
    <mergeCell ref="M12:N12"/>
    <mergeCell ref="B7:C10"/>
    <mergeCell ref="B13:F14"/>
    <mergeCell ref="B15:D23"/>
    <mergeCell ref="F19:G23"/>
    <mergeCell ref="B2:F3"/>
    <mergeCell ref="B4:C4"/>
    <mergeCell ref="D4:D5"/>
    <mergeCell ref="E4:E5"/>
    <mergeCell ref="F4: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B2D-0544-4AF4-8F48-1115B33F73A4}">
  <dimension ref="B1:F5"/>
  <sheetViews>
    <sheetView workbookViewId="0">
      <selection activeCell="F10" sqref="F10"/>
    </sheetView>
  </sheetViews>
  <sheetFormatPr defaultColWidth="8.85546875" defaultRowHeight="15" x14ac:dyDescent="0.25"/>
  <cols>
    <col min="1" max="1" width="4" customWidth="1"/>
  </cols>
  <sheetData>
    <row r="1" spans="2:6" ht="15.75" thickBot="1" x14ac:dyDescent="0.3"/>
    <row r="2" spans="2:6" x14ac:dyDescent="0.25">
      <c r="B2" s="183" t="s">
        <v>79</v>
      </c>
      <c r="C2" s="184"/>
      <c r="D2" s="184"/>
      <c r="E2" s="184"/>
      <c r="F2" s="185"/>
    </row>
    <row r="3" spans="2:6" x14ac:dyDescent="0.25">
      <c r="B3" s="186"/>
      <c r="C3" s="187"/>
      <c r="D3" s="187"/>
      <c r="E3" s="187"/>
      <c r="F3" s="188"/>
    </row>
    <row r="4" spans="2:6" x14ac:dyDescent="0.25">
      <c r="B4" s="186"/>
      <c r="C4" s="187"/>
      <c r="D4" s="187"/>
      <c r="E4" s="187"/>
      <c r="F4" s="188"/>
    </row>
    <row r="5" spans="2:6" ht="15.75" thickBot="1" x14ac:dyDescent="0.3">
      <c r="B5" s="189"/>
      <c r="C5" s="190"/>
      <c r="D5" s="190"/>
      <c r="E5" s="190"/>
      <c r="F5" s="191"/>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B4873-1F2B-4DA5-A59D-EA2845F46BB6}">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42C52D6A-E0AB-44E7-ABE4-D928B05D246F}">
  <ds:schemaRefs>
    <ds:schemaRef ds:uri="http://schemas.microsoft.com/sharepoint/v3/contenttype/forms"/>
  </ds:schemaRefs>
</ds:datastoreItem>
</file>

<file path=customXml/itemProps3.xml><?xml version="1.0" encoding="utf-8"?>
<ds:datastoreItem xmlns:ds="http://schemas.openxmlformats.org/officeDocument/2006/customXml" ds:itemID="{A2CE780C-3974-4A71-8F18-23A7FE3566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Goals and Instructions</vt:lpstr>
      <vt:lpstr>Basic Excel Formulas</vt:lpstr>
      <vt:lpstr>Users</vt:lpstr>
      <vt:lpstr>Solutions</vt:lpstr>
      <vt:lpstr>Sheet2</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2026-08-25T19:42:46Z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