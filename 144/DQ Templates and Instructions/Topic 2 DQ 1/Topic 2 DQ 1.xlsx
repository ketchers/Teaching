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2 DQ 1/"/>
    </mc:Choice>
  </mc:AlternateContent>
  <xr:revisionPtr revIDLastSave="85" documentId="8_{EC0CA368-B35E-4E61-BE63-B68E8477FF08}" xr6:coauthVersionLast="47" xr6:coauthVersionMax="47" xr10:uidLastSave="{5C35975E-E1B7-48B2-A382-C8B3F7ADDE00}"/>
  <bookViews>
    <workbookView xWindow="-120" yWindow="-120" windowWidth="29040" windowHeight="15720" xr2:uid="{30DCFED0-AF9F-4763-8D9E-1F0E9BEB0013}"/>
  </bookViews>
  <sheets>
    <sheet name="Goals and Instructions" sheetId="3" r:id="rId1"/>
    <sheet name="Conversions" sheetId="1" r:id="rId2"/>
    <sheet name="Random" sheetId="5" state="hidden" r:id="rId3"/>
    <sheet name="Solutions" sheetId="4" state="hidden" r:id="rId4"/>
    <sheet name="Sheet1" sheetId="2"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 l="1"/>
  <c r="C40" i="1"/>
  <c r="I35" i="1"/>
  <c r="F35" i="1"/>
  <c r="B7" i="5"/>
  <c r="B8" i="5"/>
  <c r="B9" i="5"/>
  <c r="B10" i="5"/>
  <c r="C10" i="5" s="1"/>
  <c r="B6" i="5"/>
  <c r="C6" i="5" s="1"/>
  <c r="D6" i="5" l="1"/>
  <c r="D10" i="5"/>
  <c r="C8" i="5"/>
  <c r="C7" i="5"/>
  <c r="C9" i="5"/>
  <c r="E6" i="5"/>
  <c r="E10" i="5"/>
  <c r="D9" i="5" l="1"/>
  <c r="D8" i="5"/>
  <c r="D7" i="5"/>
  <c r="E8" i="5"/>
  <c r="E9" i="5"/>
  <c r="E7" i="5"/>
  <c r="B11" i="5" l="1"/>
  <c r="B12" i="5" s="1"/>
  <c r="D12" i="5" l="1"/>
  <c r="E12" i="5" s="1"/>
  <c r="B13" i="5"/>
  <c r="C12" i="5"/>
  <c r="B14" i="5" l="1"/>
  <c r="D13" i="5"/>
  <c r="E13" i="5" l="1"/>
  <c r="C13" i="5"/>
  <c r="B15" i="5"/>
  <c r="D14" i="5"/>
  <c r="E14" i="5" l="1"/>
  <c r="C14" i="5"/>
  <c r="B16" i="5"/>
  <c r="D15" i="5"/>
  <c r="B17" i="5" l="1"/>
  <c r="D16" i="5"/>
  <c r="C15" i="5"/>
  <c r="E15" i="5"/>
  <c r="E16" i="5" l="1"/>
  <c r="I24" i="5" s="1"/>
  <c r="C16" i="5"/>
  <c r="B18" i="5"/>
  <c r="D17" i="5"/>
  <c r="E17" i="5" l="1"/>
  <c r="H19" i="5" s="1"/>
  <c r="C17" i="5"/>
  <c r="B19" i="5"/>
  <c r="D18" i="5"/>
  <c r="I25" i="5" l="1"/>
  <c r="B20" i="5"/>
  <c r="D19" i="5"/>
  <c r="E18" i="5"/>
  <c r="C18" i="5"/>
  <c r="H21" i="5" s="1"/>
  <c r="J19" i="5" l="1"/>
  <c r="E19" i="5"/>
  <c r="H20" i="5" s="1"/>
  <c r="C19" i="5"/>
  <c r="H22" i="5" s="1"/>
  <c r="B21" i="5"/>
  <c r="D20" i="5"/>
  <c r="J20" i="5" l="1"/>
  <c r="J24" i="5" s="1"/>
  <c r="K24" i="5" s="1"/>
  <c r="D21" i="5"/>
  <c r="B22" i="5"/>
  <c r="E20" i="5"/>
  <c r="C20" i="5"/>
  <c r="I19" i="5"/>
  <c r="J25" i="5" l="1"/>
  <c r="K25" i="5" s="1"/>
  <c r="C40" i="4"/>
  <c r="B23" i="5"/>
  <c r="D22" i="5"/>
  <c r="E21" i="5"/>
  <c r="C21" i="5"/>
  <c r="C41" i="4" l="1"/>
  <c r="C22" i="5"/>
  <c r="E22" i="5"/>
  <c r="B24" i="5"/>
  <c r="D23" i="5"/>
  <c r="E23" i="5" l="1"/>
  <c r="C23" i="5"/>
  <c r="D24" i="5"/>
  <c r="B25" i="5"/>
  <c r="B26" i="5" l="1"/>
  <c r="D25" i="5"/>
  <c r="E24" i="5"/>
  <c r="C24" i="5"/>
  <c r="E25" i="5" l="1"/>
  <c r="C25" i="5"/>
  <c r="D26" i="5"/>
  <c r="B27" i="5"/>
  <c r="D27" i="5" l="1"/>
  <c r="B28" i="5"/>
  <c r="E26" i="5"/>
  <c r="C26" i="5"/>
  <c r="D28" i="5" l="1"/>
  <c r="B29" i="5"/>
  <c r="E27" i="5"/>
  <c r="C27" i="5"/>
  <c r="B30" i="5" l="1"/>
  <c r="D29" i="5"/>
  <c r="E28" i="5"/>
  <c r="C28" i="5"/>
  <c r="C29" i="5" l="1"/>
  <c r="E29" i="5"/>
  <c r="B31" i="5"/>
  <c r="D30" i="5"/>
  <c r="D31" i="5" l="1"/>
  <c r="B32" i="5"/>
  <c r="E30" i="5"/>
  <c r="C30" i="5"/>
  <c r="B33" i="5" l="1"/>
  <c r="D32" i="5"/>
  <c r="E31" i="5"/>
  <c r="C31" i="5"/>
  <c r="E32" i="5" l="1"/>
  <c r="C32" i="5"/>
  <c r="D33" i="5"/>
  <c r="B34" i="5"/>
  <c r="B35" i="5" l="1"/>
  <c r="D34" i="5"/>
  <c r="E33" i="5"/>
  <c r="C33" i="5"/>
  <c r="E34" i="5" l="1"/>
  <c r="C34" i="5"/>
  <c r="D35" i="5"/>
  <c r="B36" i="5"/>
  <c r="D36" i="5" l="1"/>
  <c r="B37" i="5"/>
  <c r="E35" i="5"/>
  <c r="C35" i="5"/>
  <c r="B38" i="5" l="1"/>
  <c r="D37" i="5"/>
  <c r="E36" i="5"/>
  <c r="C36" i="5"/>
  <c r="C37" i="5" l="1"/>
  <c r="E37" i="5"/>
  <c r="B39" i="5"/>
  <c r="D38" i="5"/>
  <c r="E38" i="5" l="1"/>
  <c r="C38" i="5"/>
  <c r="D39" i="5"/>
  <c r="B40" i="5"/>
  <c r="B41" i="5" l="1"/>
  <c r="D40" i="5"/>
  <c r="E39" i="5"/>
  <c r="C39" i="5"/>
  <c r="E40" i="5" l="1"/>
  <c r="C40" i="5"/>
  <c r="D41" i="5"/>
  <c r="B42" i="5"/>
  <c r="B43" i="5" l="1"/>
  <c r="D42" i="5"/>
  <c r="E41" i="5"/>
  <c r="C41" i="5"/>
  <c r="E42" i="5" l="1"/>
  <c r="C42" i="5"/>
  <c r="D43" i="5"/>
  <c r="B44" i="5"/>
  <c r="B45" i="5" l="1"/>
  <c r="D44" i="5"/>
  <c r="E43" i="5"/>
  <c r="C43" i="5"/>
  <c r="E44" i="5" l="1"/>
  <c r="C44" i="5"/>
  <c r="B46" i="5"/>
  <c r="D45" i="5"/>
  <c r="C45" i="5" l="1"/>
  <c r="E45" i="5"/>
  <c r="B47" i="5"/>
  <c r="D46" i="5"/>
  <c r="E46" i="5" l="1"/>
  <c r="C46" i="5"/>
  <c r="D47" i="5"/>
  <c r="B48" i="5"/>
  <c r="D48" i="5" l="1"/>
  <c r="B49" i="5"/>
  <c r="E47" i="5"/>
  <c r="C47" i="5"/>
  <c r="B50" i="5" l="1"/>
  <c r="D49" i="5"/>
  <c r="E48" i="5"/>
  <c r="C48" i="5"/>
  <c r="E49" i="5" l="1"/>
  <c r="C49" i="5"/>
  <c r="B51" i="5"/>
  <c r="D50" i="5"/>
  <c r="E50" i="5" l="1"/>
  <c r="C50" i="5"/>
  <c r="D51" i="5"/>
  <c r="B52" i="5"/>
  <c r="B53" i="5" l="1"/>
  <c r="D52" i="5"/>
  <c r="E51" i="5"/>
  <c r="C51" i="5"/>
  <c r="E52" i="5" l="1"/>
  <c r="C52" i="5"/>
  <c r="D53" i="5"/>
  <c r="B54" i="5"/>
  <c r="B55" i="5" l="1"/>
  <c r="D55" i="5" s="1"/>
  <c r="D54" i="5"/>
  <c r="C53" i="5"/>
  <c r="E53" i="5"/>
  <c r="E54" i="5" l="1"/>
  <c r="C54" i="5"/>
  <c r="E55" i="5"/>
  <c r="C55" i="5"/>
  <c r="L41" i="4"/>
  <c r="I41" i="4"/>
  <c r="F41" i="4"/>
  <c r="O41" i="4"/>
  <c r="O40" i="4"/>
  <c r="I40" i="4"/>
  <c r="F40" i="4"/>
  <c r="O37" i="4"/>
  <c r="L37" i="4"/>
  <c r="I37" i="4"/>
  <c r="F37" i="4"/>
  <c r="O36" i="4"/>
  <c r="I36" i="4"/>
  <c r="F36" i="4"/>
  <c r="I35" i="4"/>
  <c r="F35" i="4"/>
  <c r="O35" i="4" s="1"/>
  <c r="O35" i="1"/>
</calcChain>
</file>

<file path=xl/sharedStrings.xml><?xml version="1.0" encoding="utf-8"?>
<sst xmlns="http://schemas.openxmlformats.org/spreadsheetml/2006/main" count="305" uniqueCount="134">
  <si>
    <t>Excel Skills Learned</t>
  </si>
  <si>
    <r>
      <rPr>
        <b/>
        <sz val="11"/>
        <color theme="1"/>
        <rFont val="Calibri"/>
        <family val="2"/>
        <scheme val="minor"/>
      </rPr>
      <t>Instructions</t>
    </r>
    <r>
      <rPr>
        <sz val="11"/>
        <color theme="1"/>
        <rFont val="Calibri"/>
        <family val="2"/>
        <scheme val="minor"/>
      </rPr>
      <t xml:space="preserve">: Open the tab labeled "Conversions" and complete the tasks indicated there. Start by entering your name where indicated. Pay attention to the legend and note that the sheet is  self-checking, but only the final value and units are checked. The cell will highlight yellow if a number is used where a formula is required. </t>
    </r>
  </si>
  <si>
    <t>Upon completing the sheet, you should have an understanding of:</t>
  </si>
  <si>
    <t>1. Using cell references in formulas.</t>
  </si>
  <si>
    <t>2. Reusing formulas via cut-paste.</t>
  </si>
  <si>
    <t>Math Skills Learned</t>
  </si>
  <si>
    <t>1.Converting between units.</t>
  </si>
  <si>
    <r>
      <rPr>
        <sz val="16"/>
        <color theme="1"/>
        <rFont val="Calibri"/>
        <family val="2"/>
        <scheme val="minor"/>
      </rPr>
      <t xml:space="preserve">1 </t>
    </r>
    <r>
      <rPr>
        <sz val="11"/>
        <color theme="1"/>
        <rFont val="Calibri"/>
        <family val="2"/>
        <scheme val="minor"/>
      </rPr>
      <t>On this sheet, you will consider several conversions related to calculations you might see in a professional context.  For each conversion, you'll identify and apply appropriate ratios to yield the given result.  Remember that ratios can use either unit over the other, and that you should order ratios so that units cancel in the numerator and denominator for intermediate steps.
First, examine this conversion factor table; you will use conversion factors from this table in your formulas in part 2.  Note that if you use a ratio of the Second Units over the First Units, then your multiplier will be the conversion factor itself; on the other hand, if you use a ratio of the First Units over the Second units, then your multiplier will be 1 divided by the conversion factor.  For example, when multiplying by lb/kg, you would multiply by F4 or F4/D4; when multiplying by kg/lb, you would multiply by 1/F4 or D4/F4.</t>
    </r>
  </si>
  <si>
    <t>Quantity of</t>
  </si>
  <si>
    <t>First Units</t>
  </si>
  <si>
    <t>=</t>
  </si>
  <si>
    <t>Conversion Factor</t>
  </si>
  <si>
    <t>Second Units</t>
  </si>
  <si>
    <t>kilogram (kg)</t>
  </si>
  <si>
    <t>pounds (lb)</t>
  </si>
  <si>
    <t>Legend</t>
  </si>
  <si>
    <t>fluid ounce (floz)</t>
  </si>
  <si>
    <t>milliliter (mL)</t>
  </si>
  <si>
    <t>If a cell is shaded</t>
  </si>
  <si>
    <t>You should</t>
  </si>
  <si>
    <t>ounce (oz)</t>
  </si>
  <si>
    <t>gram (g)</t>
  </si>
  <si>
    <t>Blue</t>
  </si>
  <si>
    <t>Enter a text response</t>
  </si>
  <si>
    <t>Green</t>
  </si>
  <si>
    <t>Enter a number</t>
  </si>
  <si>
    <t>milligram (mg)</t>
  </si>
  <si>
    <t>Gold</t>
  </si>
  <si>
    <t>Enter an Excel formula</t>
  </si>
  <si>
    <t>microgram (mcg)</t>
  </si>
  <si>
    <t>Any other color</t>
  </si>
  <si>
    <t>Make no changes</t>
  </si>
  <si>
    <t>liter (L)</t>
  </si>
  <si>
    <t>fluid ounces (floz)</t>
  </si>
  <si>
    <t>gallons (gal)</t>
  </si>
  <si>
    <t>Enter your Name ⇒</t>
  </si>
  <si>
    <t>teaspoon (tsp)</t>
  </si>
  <si>
    <t>meter (m)</t>
  </si>
  <si>
    <t>feet (ft)</t>
  </si>
  <si>
    <t>A formula was used, but the value is incorrect.</t>
  </si>
  <si>
    <t>day (d)</t>
  </si>
  <si>
    <t>hours (h)</t>
  </si>
  <si>
    <t>A formula should have been used, and the value is incorrect.</t>
  </si>
  <si>
    <r>
      <rPr>
        <sz val="18"/>
        <color theme="1"/>
        <rFont val="Calibri"/>
        <family val="2"/>
        <scheme val="minor"/>
      </rPr>
      <t>2</t>
    </r>
    <r>
      <rPr>
        <sz val="11"/>
        <color theme="1"/>
        <rFont val="Calibri"/>
        <family val="2"/>
        <scheme val="minor"/>
      </rPr>
      <t xml:space="preserve"> Now, use entries from the conversion table to perform the following conversions.  Note that you may use entries only from the table above, even if a more direct conversion is possible.  For each part, the number of ratios required is shown in the table.  Note that your ratios for the formulas may be either one of the conversion factors above (like =F10 or =F10/B10) or the reciprocal (like =1/F9 or =B9/F9), as illustrated in the example.  No special formatting is required for the cells containing your formulas.  In the blue cells, enter the ratio of units that you multiplied by for each conversion. You should use the abbreviations provided above, including capitalization as given.</t>
    </r>
  </si>
  <si>
    <t>A formula should have been used, but the value is correct.</t>
  </si>
  <si>
    <t>A formula was used, and the value is correct.</t>
  </si>
  <si>
    <t xml:space="preserve">Watch the video explanations to follow along with A and B. </t>
  </si>
  <si>
    <t xml:space="preserve">Initial quantity </t>
  </si>
  <si>
    <t>Initial Units</t>
  </si>
  <si>
    <t>x</t>
  </si>
  <si>
    <t>First ratio</t>
  </si>
  <si>
    <t>Units</t>
  </si>
  <si>
    <t>Second ratio</t>
  </si>
  <si>
    <t>Third ratio</t>
  </si>
  <si>
    <t>Final quantity</t>
  </si>
  <si>
    <t>Final Units</t>
  </si>
  <si>
    <t>Videos</t>
  </si>
  <si>
    <t>Example: convert fluid ounces per kilogram to milliliters per pound</t>
  </si>
  <si>
    <t>floz/kg</t>
  </si>
  <si>
    <t>mL/floz</t>
  </si>
  <si>
    <t>kg/lb</t>
  </si>
  <si>
    <t>mL/lb</t>
  </si>
  <si>
    <t>Click on the play button to view the video.</t>
  </si>
  <si>
    <t>A) Convert grams per liter to ounces per gallon</t>
  </si>
  <si>
    <t>g/L</t>
  </si>
  <si>
    <t xml:space="preserve">B) Convert square meter per mililiter to square feet per teaspoon </t>
  </si>
  <si>
    <t>m^2/mL</t>
  </si>
  <si>
    <t>Complete the similar problems below to finish the DQ.</t>
  </si>
  <si>
    <t>C) Convert fluid ounces per kilogram to milliliters per pound</t>
  </si>
  <si>
    <t>D) Convert square meters per kilograms to square feet per grams</t>
  </si>
  <si>
    <t>m^2/kg</t>
  </si>
  <si>
    <t>Seed</t>
  </si>
  <si>
    <t>Rand1</t>
  </si>
  <si>
    <t>Rand2</t>
  </si>
  <si>
    <t>Rand3</t>
  </si>
  <si>
    <t>Rand4</t>
  </si>
  <si>
    <t>Rand5</t>
  </si>
  <si>
    <t>Rand6</t>
  </si>
  <si>
    <t>Rand7</t>
  </si>
  <si>
    <t>Rand8</t>
  </si>
  <si>
    <t>m</t>
  </si>
  <si>
    <t>Rand9</t>
  </si>
  <si>
    <t>b</t>
  </si>
  <si>
    <t>Rand10</t>
  </si>
  <si>
    <t>p1</t>
  </si>
  <si>
    <t>Rand11</t>
  </si>
  <si>
    <t>p2</t>
  </si>
  <si>
    <t>Rand12</t>
  </si>
  <si>
    <t>y</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</si>
  <si>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</si>
  <si>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</si>
  <si>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</si>
  <si>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</si>
  <si>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</si>
  <si>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</si>
  <si>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</si>
  <si>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</si>
  <si>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</si>
  <si>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</si>
  <si>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</si>
  <si>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</si>
  <si>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</si>
  <si>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</si>
  <si>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</si>
  <si>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</si>
  <si>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</si>
  <si>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</si>
  <si>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</si>
  <si>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</si>
  <si>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</si>
  <si>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</si>
  <si>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</si>
  <si>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</si>
  <si>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</si>
  <si>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</si>
  <si>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</si>
  <si>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</si>
  <si>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</si>
  <si>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</si>
  <si>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</si>
  <si>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</si>
  <si>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L/gal</t>
  </si>
  <si>
    <t>oz/g</t>
  </si>
  <si>
    <t>oz/gal</t>
  </si>
  <si>
    <t>ft/m</t>
  </si>
  <si>
    <t>mL/tsp</t>
  </si>
  <si>
    <t>ft^2/tsp</t>
  </si>
  <si>
    <t>kg/g</t>
  </si>
  <si>
    <t>ft^2/g</t>
  </si>
  <si>
    <t>Download and open the sheet.</t>
  </si>
  <si>
    <t>Your Name!</t>
  </si>
  <si>
    <r>
      <rPr>
        <sz val="18"/>
        <color theme="1"/>
        <rFont val="Calibri"/>
        <family val="2"/>
        <scheme val="minor"/>
      </rPr>
      <t>2</t>
    </r>
    <r>
      <rPr>
        <sz val="11"/>
        <color theme="1"/>
        <rFont val="Calibri"/>
        <family val="2"/>
        <scheme val="minor"/>
      </rPr>
      <t xml:space="preserve"> Now, use entries from the conversion table to perform the following conversions.  Note that you may use entries only from the table above, even if a more direct conversion is possible. First, in the blue cells, enter the ratio of units that you multiplied by for each conversion. You should use the abbreviations provided above, including capitalization as given. For each part, the number of ratios required is shown in the table.  Next, in the gold cells, enter formulas for the ratios using cell references to the table. The formulas must be ratios (like =F10/B10) or the reciprocal (like =B9/F9), as illustrated in the example. The formula for "Final quantity" must be a product of the "Initial quantity" and the conversion ratios.  Format the values as "Number" with three decimal places.  </t>
    </r>
  </si>
  <si>
    <r>
      <t>A formula has been used and the value is correct.</t>
    </r>
    <r>
      <rPr>
        <vertAlign val="superscript"/>
        <sz val="11"/>
        <color theme="1"/>
        <rFont val="Calibri"/>
        <family val="2"/>
        <scheme val="minor"/>
      </rPr>
      <t>1</t>
    </r>
  </si>
  <si>
    <r>
      <rPr>
        <vertAlign val="superscript"/>
        <sz val="11"/>
        <color theme="1"/>
        <rFont val="Calibri"/>
        <family val="2"/>
        <scheme val="minor"/>
      </rPr>
      <t>1</t>
    </r>
    <r>
      <rPr>
        <sz val="11"/>
        <color theme="1"/>
        <rFont val="Calibri"/>
        <family val="2"/>
        <scheme val="minor"/>
      </rPr>
      <t>Note: Only the "Final quantity" and "Final units" can be auto-graded, as there are many ways that you might enter your conversion ratios. All formula cells are checked for formulas. As always, your formulas should use cell references, but the autograder can't check for that.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</si>
</sst>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13">
    <font>
      <sz val="11"/>
      <color theme="1"/>
      <name val="Calibri"/>
      <family val="2"/>
      <scheme val="minor"/>
    </font>
    <font>
      <b/>
      <sz val="11"/>
      <color theme="1"/>
      <name val="Calibri"/>
      <family val="2"/>
      <scheme val="minor"/>
    </font>
    <font>
      <sz val="16"/>
      <color theme="1"/>
      <name val="Calibri"/>
      <family val="2"/>
      <scheme val="minor"/>
    </font>
    <font>
      <sz val="18"/>
      <color theme="1"/>
      <name val="Calibri"/>
      <family val="2"/>
      <scheme val="minor"/>
    </font>
    <font>
      <b/>
      <sz val="14"/>
      <color theme="1"/>
      <name val="Calibri"/>
      <family val="2"/>
      <scheme val="minor"/>
    </font>
    <font>
      <u/>
      <sz val="11"/>
      <color theme="10"/>
      <name val="Calibri"/>
      <family val="2"/>
      <scheme val="minor"/>
    </font>
    <font>
      <b/>
      <u/>
      <sz val="11"/>
      <color theme="10"/>
      <name val="Calibri"/>
      <family val="2"/>
      <scheme val="minor"/>
    </font>
    <font>
      <b/>
      <sz val="20"/>
      <color theme="1"/>
      <name val="Calibri"/>
      <family val="2"/>
      <scheme val="minor"/>
    </font>
    <font>
      <b/>
      <u/>
      <sz val="14"/>
      <color theme="10"/>
      <name val="Calibri"/>
      <family val="2"/>
      <scheme val="minor"/>
    </font>
    <font>
      <sz val="10"/>
      <color rgb="FF000000"/>
      <name val="Arial Unicode MS"/>
    </font>
    <font>
      <sz val="14"/>
      <color theme="0"/>
      <name val="Blackadder ITC"/>
      <family val="5"/>
    </font>
    <font>
      <b/>
      <sz val="11"/>
      <color rgb="FF00B050"/>
      <name val="Calibri"/>
      <family val="2"/>
      <scheme val="minor"/>
    </font>
    <font>
      <vertAlign val="superscript"/>
      <sz val="11"/>
      <color theme="1"/>
      <name val="Calibri"/>
      <family val="2"/>
      <scheme val="minor"/>
    </font>
  </fonts>
  <fills count="13">
    <fill>
      <patternFill patternType="none"/>
    </fill>
    <fill>
      <patternFill patternType="gray125"/>
    </fill>
    <fill>
      <patternFill patternType="solid">
        <fgColor theme="5" tint="0.79998168889431442"/>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FBE4D5"/>
        <bgColor indexed="64"/>
      </patternFill>
    </fill>
    <fill>
      <patternFill patternType="solid">
        <fgColor rgb="FFD8D8D8"/>
        <bgColor indexed="64"/>
      </patternFill>
    </fill>
    <fill>
      <patternFill patternType="solid">
        <fgColor rgb="FFFFE598"/>
        <bgColor indexed="64"/>
      </patternFill>
    </fill>
    <fill>
      <patternFill patternType="solid">
        <fgColor rgb="FFB4C6E7"/>
        <bgColor indexed="64"/>
      </patternFill>
    </fill>
    <fill>
      <patternFill patternType="solid">
        <fgColor rgb="FFFFFF00"/>
        <bgColor indexed="64"/>
      </patternFill>
    </fill>
  </fills>
  <borders count="5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indexed="64"/>
      </right>
      <top style="thin">
        <color auto="1"/>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auto="1"/>
      </top>
      <bottom style="thin">
        <color auto="1"/>
      </bottom>
      <diagonal/>
    </border>
    <border>
      <left/>
      <right style="medium">
        <color auto="1"/>
      </right>
      <top style="medium">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indexed="64"/>
      </bottom>
      <diagonal/>
    </border>
    <border diagonalUp="1" diagonalDown="1">
      <left/>
      <right/>
      <top style="medium">
        <color indexed="64"/>
      </top>
      <bottom/>
      <diagonal style="thin">
        <color auto="1"/>
      </diagonal>
    </border>
    <border diagonalUp="1" diagonalDown="1">
      <left/>
      <right style="thin">
        <color auto="1"/>
      </right>
      <top style="medium">
        <color indexed="64"/>
      </top>
      <bottom/>
      <diagonal style="thin">
        <color auto="1"/>
      </diagonal>
    </border>
    <border diagonalUp="1" diagonalDown="1">
      <left style="thin">
        <color auto="1"/>
      </left>
      <right/>
      <top style="medium">
        <color indexed="64"/>
      </top>
      <bottom style="medium">
        <color indexed="64"/>
      </bottom>
      <diagonal style="thin">
        <color auto="1"/>
      </diagonal>
    </border>
    <border diagonalUp="1" diagonalDown="1">
      <left/>
      <right/>
      <top style="medium">
        <color indexed="64"/>
      </top>
      <bottom style="medium">
        <color indexed="64"/>
      </bottom>
      <diagonal style="thin">
        <color auto="1"/>
      </diagonal>
    </border>
    <border diagonalUp="1" diagonalDown="1">
      <left/>
      <right style="thin">
        <color auto="1"/>
      </right>
      <top style="medium">
        <color indexed="64"/>
      </top>
      <bottom style="medium">
        <color indexed="64"/>
      </bottom>
      <diagonal style="thin">
        <color auto="1"/>
      </diagonal>
    </border>
    <border diagonalUp="1" diagonalDown="1">
      <left style="thin">
        <color auto="1"/>
      </left>
      <right style="thin">
        <color auto="1"/>
      </right>
      <top style="medium">
        <color indexed="64"/>
      </top>
      <bottom style="medium">
        <color indexed="64"/>
      </bottom>
      <diagonal style="thin">
        <color auto="1"/>
      </diagonal>
    </border>
    <border>
      <left style="medium">
        <color rgb="FFCCCCCC"/>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auto="1"/>
      </right>
      <top/>
      <bottom/>
      <diagonal/>
    </border>
    <border>
      <left/>
      <right style="thin">
        <color auto="1"/>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medium">
        <color rgb="FF000000"/>
      </top>
      <bottom style="medium">
        <color indexed="64"/>
      </bottom>
      <diagonal/>
    </border>
    <border>
      <left/>
      <right/>
      <top style="medium">
        <color rgb="FF000000"/>
      </top>
      <bottom style="medium">
        <color rgb="FF000000"/>
      </bottom>
      <diagonal/>
    </border>
    <border>
      <left style="thin">
        <color auto="1"/>
      </left>
      <right/>
      <top/>
      <bottom/>
      <diagonal/>
    </border>
    <border>
      <left style="thin">
        <color auto="1"/>
      </left>
      <right/>
      <top style="medium">
        <color indexed="64"/>
      </top>
      <bottom/>
      <diagonal/>
    </border>
    <border>
      <left style="medium">
        <color rgb="FFCCCCCC"/>
      </left>
      <right/>
      <top style="medium">
        <color rgb="FF000000"/>
      </top>
      <bottom style="medium">
        <color rgb="FF000000"/>
      </bottom>
      <diagonal/>
    </border>
    <border>
      <left style="thin">
        <color auto="1"/>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bottom style="medium">
        <color indexed="64"/>
      </bottom>
      <diagonal/>
    </border>
    <border>
      <left style="thin">
        <color auto="1"/>
      </left>
      <right/>
      <top style="medium">
        <color indexed="64"/>
      </top>
      <bottom style="medium">
        <color indexed="64"/>
      </bottom>
      <diagonal/>
    </border>
    <border>
      <left style="medium">
        <color auto="1"/>
      </left>
      <right style="thin">
        <color auto="1"/>
      </right>
      <top/>
      <bottom style="medium">
        <color auto="1"/>
      </bottom>
      <diagonal/>
    </border>
    <border>
      <left/>
      <right style="thin">
        <color auto="1"/>
      </right>
      <top style="medium">
        <color indexed="64"/>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0" fontId="5" fillId="0" borderId="0" applyNumberFormat="0" applyFill="0" applyBorder="0" applyAlignment="0" applyProtection="0"/>
  </cellStyleXfs>
  <cellXfs count="212">
    <xf numFmtId="0" fontId="0" fillId="0" borderId="0" xfId="0"/>
    <xf numFmtId="0" fontId="0" fillId="3" borderId="4" xfId="0" applyFill="1" applyBorder="1" applyAlignment="1" applyProtection="1">
      <alignment horizontal="center" vertical="center" wrapText="1"/>
      <protection hidden="1"/>
    </xf>
    <xf numFmtId="0" fontId="0" fillId="3" borderId="5" xfId="0" applyFill="1" applyBorder="1" applyAlignment="1" applyProtection="1">
      <alignment horizontal="center" vertical="center" wrapText="1"/>
      <protection hidden="1"/>
    </xf>
    <xf numFmtId="164" fontId="0" fillId="3" borderId="5" xfId="0" applyNumberFormat="1" applyFill="1" applyBorder="1" applyAlignment="1" applyProtection="1">
      <alignment horizontal="center" vertical="center" wrapText="1"/>
      <protection hidden="1"/>
    </xf>
    <xf numFmtId="0" fontId="0" fillId="3" borderId="7" xfId="0" applyFill="1" applyBorder="1" applyAlignment="1" applyProtection="1">
      <alignment horizontal="center" vertical="center" wrapText="1"/>
      <protection hidden="1"/>
    </xf>
    <xf numFmtId="0" fontId="0" fillId="3" borderId="8" xfId="0" applyFill="1" applyBorder="1" applyAlignment="1" applyProtection="1">
      <alignment horizontal="center" vertical="center" wrapText="1"/>
      <protection hidden="1"/>
    </xf>
    <xf numFmtId="0" fontId="0" fillId="2" borderId="12" xfId="0" applyFill="1" applyBorder="1" applyAlignment="1" applyProtection="1">
      <alignment horizontal="center" vertical="center" wrapText="1"/>
      <protection hidden="1"/>
    </xf>
    <xf numFmtId="0" fontId="0" fillId="2" borderId="13" xfId="0" applyFill="1" applyBorder="1" applyAlignment="1" applyProtection="1">
      <alignment horizontal="center" vertical="center" wrapText="1"/>
      <protection hidden="1"/>
    </xf>
    <xf numFmtId="0" fontId="0" fillId="2" borderId="0" xfId="0" applyFill="1" applyAlignment="1" applyProtection="1">
      <alignment horizontal="center" vertical="center" wrapText="1"/>
      <protection hidden="1"/>
    </xf>
    <xf numFmtId="0" fontId="0" fillId="2" borderId="15" xfId="0" applyFill="1" applyBorder="1" applyAlignment="1" applyProtection="1">
      <alignment horizontal="center" vertical="center" wrapText="1"/>
      <protection hidden="1"/>
    </xf>
    <xf numFmtId="0" fontId="0" fillId="0" borderId="0" xfId="0" applyAlignment="1" applyProtection="1">
      <alignment horizontal="left" vertical="center" wrapText="1"/>
      <protection hidden="1"/>
    </xf>
    <xf numFmtId="0" fontId="0" fillId="0" borderId="17" xfId="0" applyBorder="1" applyAlignment="1" applyProtection="1">
      <alignment horizontal="left" vertical="center" wrapText="1"/>
      <protection hidden="1"/>
    </xf>
    <xf numFmtId="0" fontId="0" fillId="0" borderId="11" xfId="0" applyBorder="1"/>
    <xf numFmtId="0" fontId="6" fillId="0" borderId="11" xfId="1" applyFont="1" applyBorder="1" applyAlignment="1" applyProtection="1">
      <alignment horizontal="center" vertical="center"/>
      <protection hidden="1"/>
    </xf>
    <xf numFmtId="0" fontId="0" fillId="3" borderId="11" xfId="0"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0" fillId="9" borderId="37" xfId="0" applyFill="1" applyBorder="1" applyAlignment="1">
      <alignment horizontal="center" vertical="center" wrapText="1"/>
    </xf>
    <xf numFmtId="0" fontId="0" fillId="2" borderId="38" xfId="0" applyFill="1" applyBorder="1" applyAlignment="1" applyProtection="1">
      <alignment horizontal="center" vertical="center" wrapText="1"/>
      <protection hidden="1"/>
    </xf>
    <xf numFmtId="0" fontId="0" fillId="2" borderId="40" xfId="0" applyFill="1" applyBorder="1" applyAlignment="1" applyProtection="1">
      <alignment horizontal="center" vertical="center" wrapText="1"/>
      <protection hidden="1"/>
    </xf>
    <xf numFmtId="0" fontId="0" fillId="3" borderId="40" xfId="0" applyFill="1" applyBorder="1" applyAlignment="1" applyProtection="1">
      <alignment horizontal="center" vertical="center" wrapText="1"/>
      <protection hidden="1"/>
    </xf>
    <xf numFmtId="0" fontId="0" fillId="9" borderId="41" xfId="0" applyFill="1" applyBorder="1" applyAlignment="1">
      <alignment horizontal="center" vertical="center" wrapText="1"/>
    </xf>
    <xf numFmtId="0" fontId="0" fillId="2" borderId="40" xfId="0" applyFill="1" applyBorder="1" applyAlignment="1" applyProtection="1">
      <alignment horizontal="center" vertical="center"/>
      <protection hidden="1"/>
    </xf>
    <xf numFmtId="0" fontId="0" fillId="3" borderId="40" xfId="0" applyFill="1" applyBorder="1" applyAlignment="1" applyProtection="1">
      <alignment horizontal="center" vertical="center"/>
      <protection hidden="1"/>
    </xf>
    <xf numFmtId="165" fontId="0" fillId="6" borderId="10" xfId="0" applyNumberFormat="1" applyFill="1" applyBorder="1" applyAlignment="1" applyProtection="1">
      <alignment horizontal="center" vertical="center"/>
      <protection locked="0"/>
    </xf>
    <xf numFmtId="0" fontId="0" fillId="7" borderId="40" xfId="0" applyFill="1" applyBorder="1" applyAlignment="1" applyProtection="1">
      <alignment horizontal="center" vertical="center"/>
      <protection locked="0"/>
    </xf>
    <xf numFmtId="0" fontId="0" fillId="2" borderId="43" xfId="0" applyFill="1" applyBorder="1" applyAlignment="1" applyProtection="1">
      <alignment horizontal="center" vertical="center" wrapText="1"/>
      <protection hidden="1"/>
    </xf>
    <xf numFmtId="0" fontId="0" fillId="3" borderId="44" xfId="0" applyFill="1" applyBorder="1" applyAlignment="1" applyProtection="1">
      <alignment horizontal="center" vertical="center"/>
      <protection hidden="1"/>
    </xf>
    <xf numFmtId="0" fontId="0" fillId="9" borderId="45" xfId="0" applyFill="1" applyBorder="1" applyAlignment="1">
      <alignment horizontal="center" vertical="center" wrapText="1"/>
    </xf>
    <xf numFmtId="0" fontId="0" fillId="2" borderId="18" xfId="0" applyFill="1" applyBorder="1" applyAlignment="1" applyProtection="1">
      <alignment horizontal="center" vertical="center" wrapText="1"/>
      <protection hidden="1"/>
    </xf>
    <xf numFmtId="0" fontId="0" fillId="7" borderId="16" xfId="0" applyFill="1" applyBorder="1" applyAlignment="1" applyProtection="1">
      <alignment horizontal="center" vertical="center"/>
      <protection locked="0"/>
    </xf>
    <xf numFmtId="0" fontId="0" fillId="2" borderId="11" xfId="0" applyFill="1" applyBorder="1" applyAlignment="1" applyProtection="1">
      <alignment horizontal="center" vertical="center" wrapText="1"/>
      <protection hidden="1"/>
    </xf>
    <xf numFmtId="0" fontId="0" fillId="3" borderId="10" xfId="0" applyFill="1" applyBorder="1" applyAlignment="1" applyProtection="1">
      <alignment horizontal="center" vertical="center"/>
      <protection hidden="1"/>
    </xf>
    <xf numFmtId="0" fontId="0" fillId="9" borderId="42" xfId="0" applyFill="1" applyBorder="1" applyAlignment="1">
      <alignment horizontal="center" vertical="center" wrapText="1"/>
    </xf>
    <xf numFmtId="2" fontId="0" fillId="2" borderId="40" xfId="0" applyNumberFormat="1" applyFill="1" applyBorder="1" applyAlignment="1" applyProtection="1">
      <alignment horizontal="center" vertical="center" wrapText="1"/>
      <protection hidden="1"/>
    </xf>
    <xf numFmtId="165" fontId="0" fillId="6" borderId="40" xfId="0" applyNumberFormat="1" applyFill="1" applyBorder="1" applyAlignment="1" applyProtection="1">
      <alignment horizontal="center" vertical="center"/>
      <protection locked="0"/>
    </xf>
    <xf numFmtId="0" fontId="0" fillId="3" borderId="11" xfId="0" applyFill="1" applyBorder="1" applyAlignment="1" applyProtection="1">
      <alignment horizontal="center" vertical="center"/>
      <protection hidden="1"/>
    </xf>
    <xf numFmtId="165" fontId="0" fillId="3" borderId="11" xfId="0" applyNumberFormat="1" applyFill="1" applyBorder="1" applyAlignment="1">
      <alignment horizontal="center" vertical="center"/>
    </xf>
    <xf numFmtId="165" fontId="0" fillId="6" borderId="11" xfId="0" applyNumberFormat="1" applyFill="1" applyBorder="1" applyAlignment="1" applyProtection="1">
      <alignment horizontal="center" vertical="center"/>
      <protection locked="0"/>
    </xf>
    <xf numFmtId="0" fontId="0" fillId="2" borderId="44" xfId="0" applyFill="1" applyBorder="1" applyAlignment="1" applyProtection="1">
      <alignment horizontal="center" vertical="center" wrapText="1"/>
      <protection hidden="1"/>
    </xf>
    <xf numFmtId="0" fontId="0" fillId="3" borderId="2" xfId="0" applyFill="1" applyBorder="1" applyAlignment="1" applyProtection="1">
      <alignment horizontal="center" vertical="center"/>
      <protection hidden="1"/>
    </xf>
    <xf numFmtId="0" fontId="0" fillId="7" borderId="2" xfId="0" applyFill="1" applyBorder="1" applyAlignment="1" applyProtection="1">
      <alignment horizontal="center" vertical="center"/>
      <protection locked="0"/>
    </xf>
    <xf numFmtId="0" fontId="0" fillId="2" borderId="39" xfId="0" applyFill="1" applyBorder="1" applyAlignment="1" applyProtection="1">
      <alignment horizontal="center" vertical="center" wrapText="1"/>
      <protection hidden="1"/>
    </xf>
    <xf numFmtId="0" fontId="0" fillId="2" borderId="11" xfId="0" applyFill="1" applyBorder="1" applyAlignment="1" applyProtection="1">
      <alignment horizontal="center" vertical="center"/>
      <protection hidden="1"/>
    </xf>
    <xf numFmtId="2" fontId="0" fillId="2" borderId="10" xfId="0" applyNumberFormat="1" applyFill="1" applyBorder="1" applyAlignment="1" applyProtection="1">
      <alignment horizontal="center" vertical="center" wrapText="1"/>
      <protection hidden="1"/>
    </xf>
    <xf numFmtId="165" fontId="0" fillId="3" borderId="2" xfId="0" applyNumberFormat="1" applyFill="1" applyBorder="1" applyAlignment="1">
      <alignment horizontal="center" vertical="center"/>
    </xf>
    <xf numFmtId="165" fontId="0" fillId="6" borderId="2" xfId="0" applyNumberFormat="1" applyFill="1" applyBorder="1" applyAlignment="1" applyProtection="1">
      <alignment horizontal="center" vertical="center"/>
      <protection locked="0"/>
    </xf>
    <xf numFmtId="0" fontId="0" fillId="7" borderId="11" xfId="0" applyFill="1" applyBorder="1" applyAlignment="1" applyProtection="1">
      <alignment horizontal="center" vertical="center"/>
      <protection locked="0"/>
    </xf>
    <xf numFmtId="0" fontId="0" fillId="2" borderId="1" xfId="0" applyFill="1" applyBorder="1" applyAlignment="1" applyProtection="1">
      <alignment horizontal="center" vertical="center" wrapText="1"/>
      <protection hidden="1"/>
    </xf>
    <xf numFmtId="0" fontId="0" fillId="7" borderId="2" xfId="0" applyFill="1" applyBorder="1" applyAlignment="1" applyProtection="1">
      <alignment horizontal="center" vertical="center"/>
      <protection hidden="1"/>
    </xf>
    <xf numFmtId="0" fontId="0" fillId="2" borderId="16" xfId="0" applyFill="1" applyBorder="1" applyAlignment="1" applyProtection="1">
      <alignment horizontal="center" vertical="center" wrapText="1"/>
      <protection hidden="1"/>
    </xf>
    <xf numFmtId="0" fontId="0" fillId="3" borderId="3" xfId="0" applyFill="1" applyBorder="1" applyAlignment="1" applyProtection="1">
      <alignment horizontal="center" vertical="center"/>
      <protection hidden="1"/>
    </xf>
    <xf numFmtId="0" fontId="0" fillId="7" borderId="3" xfId="0" applyFill="1" applyBorder="1" applyAlignment="1" applyProtection="1">
      <alignment horizontal="center" vertical="center"/>
      <protection locked="0"/>
    </xf>
    <xf numFmtId="0" fontId="1" fillId="2" borderId="11" xfId="0" applyFont="1" applyFill="1" applyBorder="1" applyAlignment="1">
      <alignment horizontal="center"/>
    </xf>
    <xf numFmtId="0" fontId="0" fillId="0" borderId="0" xfId="0" applyAlignment="1">
      <alignment horizontal="left" indent="1"/>
    </xf>
    <xf numFmtId="0" fontId="8" fillId="0" borderId="0" xfId="1" applyFont="1" applyAlignment="1">
      <alignment vertical="center"/>
    </xf>
    <xf numFmtId="0" fontId="0" fillId="0" borderId="0" xfId="0" applyAlignment="1">
      <alignment horizontal="left" wrapText="1" indent="1"/>
    </xf>
    <xf numFmtId="0" fontId="0" fillId="11" borderId="41" xfId="0" applyFill="1" applyBorder="1" applyAlignment="1">
      <alignment horizontal="center" vertical="center" wrapText="1"/>
    </xf>
    <xf numFmtId="0" fontId="0" fillId="11" borderId="36" xfId="0" applyFill="1" applyBorder="1" applyAlignment="1">
      <alignment horizontal="center" vertical="center" wrapText="1"/>
    </xf>
    <xf numFmtId="0" fontId="0" fillId="11" borderId="37" xfId="0" applyFill="1" applyBorder="1" applyAlignment="1">
      <alignment horizontal="center" vertical="center" wrapText="1"/>
    </xf>
    <xf numFmtId="165" fontId="0" fillId="6" borderId="11" xfId="0" applyNumberFormat="1" applyFill="1" applyBorder="1" applyAlignment="1" applyProtection="1">
      <alignment horizontal="center" vertical="center"/>
      <protection hidden="1"/>
    </xf>
    <xf numFmtId="0" fontId="0" fillId="10" borderId="42" xfId="0" applyFill="1" applyBorder="1" applyAlignment="1">
      <alignment horizontal="center" vertical="center" wrapText="1"/>
    </xf>
    <xf numFmtId="165" fontId="0" fillId="6" borderId="46" xfId="0" applyNumberFormat="1" applyFill="1" applyBorder="1" applyAlignment="1" applyProtection="1">
      <alignment horizontal="center" vertical="center"/>
      <protection locked="0"/>
    </xf>
    <xf numFmtId="0" fontId="0" fillId="3" borderId="47" xfId="0" applyFill="1" applyBorder="1" applyAlignment="1" applyProtection="1">
      <alignment horizontal="center" vertical="center" wrapText="1"/>
      <protection hidden="1"/>
    </xf>
    <xf numFmtId="0" fontId="0" fillId="3" borderId="46" xfId="0" applyFill="1" applyBorder="1" applyAlignment="1" applyProtection="1">
      <alignment horizontal="center" vertical="center" wrapText="1"/>
      <protection hidden="1"/>
    </xf>
    <xf numFmtId="0" fontId="0" fillId="3" borderId="46" xfId="0" applyFill="1" applyBorder="1" applyAlignment="1" applyProtection="1">
      <alignment horizontal="center" vertical="center"/>
      <protection hidden="1"/>
    </xf>
    <xf numFmtId="0" fontId="0" fillId="7" borderId="46" xfId="0" applyFill="1" applyBorder="1" applyAlignment="1" applyProtection="1">
      <alignment horizontal="center" vertical="center"/>
      <protection locked="0"/>
    </xf>
    <xf numFmtId="0" fontId="0" fillId="7" borderId="48" xfId="0" applyFill="1" applyBorder="1" applyAlignment="1" applyProtection="1">
      <alignment horizontal="center" vertical="center"/>
      <protection locked="0"/>
    </xf>
    <xf numFmtId="0" fontId="0" fillId="9" borderId="46" xfId="0" applyFill="1" applyBorder="1" applyAlignment="1">
      <alignment horizontal="center" vertical="center" wrapText="1"/>
    </xf>
    <xf numFmtId="165" fontId="0" fillId="3" borderId="46" xfId="0" applyNumberFormat="1" applyFill="1" applyBorder="1" applyAlignment="1">
      <alignment horizontal="center" vertical="center"/>
    </xf>
    <xf numFmtId="0" fontId="0" fillId="10" borderId="41" xfId="0" applyFill="1" applyBorder="1" applyAlignment="1">
      <alignment horizontal="center" vertical="center" wrapText="1"/>
    </xf>
    <xf numFmtId="0" fontId="0" fillId="10" borderId="36" xfId="0" applyFill="1" applyBorder="1" applyAlignment="1">
      <alignment horizontal="center" vertical="center" wrapText="1"/>
    </xf>
    <xf numFmtId="0" fontId="0" fillId="0" borderId="0" xfId="0" applyAlignment="1">
      <alignment horizontal="center"/>
    </xf>
    <xf numFmtId="0" fontId="9" fillId="0" borderId="0" xfId="0" applyFont="1" applyAlignment="1">
      <alignment vertical="center"/>
    </xf>
    <xf numFmtId="1" fontId="0" fillId="0" borderId="0" xfId="0" applyNumberFormat="1"/>
    <xf numFmtId="2" fontId="0" fillId="0" borderId="0" xfId="0" applyNumberFormat="1"/>
    <xf numFmtId="0" fontId="6" fillId="0" borderId="0" xfId="1" applyFont="1" applyBorder="1" applyAlignment="1" applyProtection="1">
      <alignment horizontal="center" vertical="center"/>
      <protection hidden="1"/>
    </xf>
    <xf numFmtId="0" fontId="0" fillId="3" borderId="48" xfId="0" applyFill="1" applyBorder="1" applyAlignment="1" applyProtection="1">
      <alignment horizontal="center" vertical="center"/>
      <protection hidden="1"/>
    </xf>
    <xf numFmtId="0" fontId="0" fillId="0" borderId="0" xfId="0" applyFill="1"/>
    <xf numFmtId="0" fontId="1" fillId="0" borderId="17" xfId="0" applyFont="1" applyFill="1" applyBorder="1" applyAlignment="1" applyProtection="1">
      <alignment vertical="center" wrapText="1"/>
      <protection hidden="1"/>
    </xf>
    <xf numFmtId="0" fontId="0" fillId="10" borderId="46" xfId="0" applyFill="1" applyBorder="1" applyAlignment="1" applyProtection="1">
      <alignment horizontal="center" vertical="center" wrapText="1"/>
      <protection locked="0"/>
    </xf>
    <xf numFmtId="0" fontId="0" fillId="11" borderId="46" xfId="0" applyFill="1" applyBorder="1" applyAlignment="1" applyProtection="1">
      <alignment horizontal="center" vertical="center" wrapText="1"/>
      <protection locked="0"/>
    </xf>
    <xf numFmtId="165" fontId="0" fillId="10" borderId="46" xfId="0" applyNumberFormat="1" applyFill="1" applyBorder="1" applyAlignment="1" applyProtection="1">
      <alignment horizontal="center" vertical="center" wrapText="1"/>
      <protection locked="0"/>
    </xf>
    <xf numFmtId="0" fontId="0" fillId="11" borderId="48" xfId="0" applyFill="1" applyBorder="1" applyAlignment="1" applyProtection="1">
      <alignment horizontal="center" vertical="center" wrapText="1"/>
      <protection locked="0"/>
    </xf>
    <xf numFmtId="0" fontId="11" fillId="6" borderId="51" xfId="0" applyFont="1" applyFill="1" applyBorder="1" applyAlignment="1" applyProtection="1">
      <alignment horizontal="center" vertical="center"/>
      <protection locked="0"/>
    </xf>
    <xf numFmtId="0" fontId="8" fillId="0" borderId="0" xfId="1" applyFont="1" applyFill="1" applyBorder="1" applyAlignment="1" applyProtection="1">
      <alignment wrapText="1"/>
      <protection hidden="1"/>
    </xf>
    <xf numFmtId="0" fontId="0" fillId="2" borderId="52" xfId="0" applyFill="1" applyBorder="1" applyAlignment="1" applyProtection="1">
      <alignment horizontal="center" vertical="center" wrapText="1"/>
      <protection hidden="1"/>
    </xf>
    <xf numFmtId="0" fontId="0" fillId="2" borderId="50" xfId="0" applyFill="1" applyBorder="1" applyAlignment="1" applyProtection="1">
      <alignment horizontal="center" vertical="center" wrapText="1"/>
      <protection hidden="1"/>
    </xf>
    <xf numFmtId="2" fontId="0" fillId="2" borderId="2" xfId="0" applyNumberFormat="1" applyFill="1" applyBorder="1" applyAlignment="1" applyProtection="1">
      <alignment horizontal="center" vertical="center" wrapText="1"/>
      <protection hidden="1"/>
    </xf>
    <xf numFmtId="0" fontId="0" fillId="2" borderId="3" xfId="0" applyFill="1" applyBorder="1" applyAlignment="1" applyProtection="1">
      <alignment horizontal="center" vertical="center" wrapText="1"/>
      <protection hidden="1"/>
    </xf>
    <xf numFmtId="0" fontId="0" fillId="2" borderId="15" xfId="0" applyFill="1" applyBorder="1" applyAlignment="1">
      <alignment horizontal="left" vertical="center" wrapText="1" indent="1"/>
    </xf>
    <xf numFmtId="0" fontId="0" fillId="2" borderId="10" xfId="0" applyFill="1" applyBorder="1" applyAlignment="1">
      <alignment horizontal="left" vertical="center" wrapText="1" indent="1"/>
    </xf>
    <xf numFmtId="0" fontId="0" fillId="2" borderId="16" xfId="0" applyFill="1" applyBorder="1" applyAlignment="1">
      <alignment horizontal="left" vertical="center" wrapText="1" indent="1"/>
    </xf>
    <xf numFmtId="0" fontId="0" fillId="2" borderId="17" xfId="0" applyFill="1" applyBorder="1" applyAlignment="1">
      <alignment horizontal="left" vertical="center" wrapText="1" indent="1"/>
    </xf>
    <xf numFmtId="0" fontId="0" fillId="2" borderId="0" xfId="0" applyFill="1" applyAlignment="1">
      <alignment horizontal="left" vertical="center" wrapText="1" indent="1"/>
    </xf>
    <xf numFmtId="0" fontId="0" fillId="2" borderId="18" xfId="0" applyFill="1" applyBorder="1" applyAlignment="1">
      <alignment horizontal="left" vertical="center" wrapText="1" indent="1"/>
    </xf>
    <xf numFmtId="0" fontId="0" fillId="2" borderId="19" xfId="0" applyFill="1" applyBorder="1" applyAlignment="1">
      <alignment horizontal="left" vertical="center" wrapText="1" indent="1"/>
    </xf>
    <xf numFmtId="0" fontId="0" fillId="2" borderId="20" xfId="0" applyFill="1" applyBorder="1" applyAlignment="1">
      <alignment horizontal="left" vertical="center" wrapText="1" indent="1"/>
    </xf>
    <xf numFmtId="0" fontId="0" fillId="2" borderId="21" xfId="0" applyFill="1" applyBorder="1" applyAlignment="1">
      <alignment horizontal="left" vertical="center" wrapText="1" indent="1"/>
    </xf>
    <xf numFmtId="0" fontId="8" fillId="2" borderId="1" xfId="1" applyFont="1" applyFill="1" applyBorder="1" applyAlignment="1" applyProtection="1">
      <alignment horizontal="center" wrapText="1"/>
      <protection locked="0"/>
    </xf>
    <xf numFmtId="0" fontId="8" fillId="2" borderId="2" xfId="1" applyFont="1" applyFill="1" applyBorder="1" applyAlignment="1" applyProtection="1">
      <alignment horizontal="center" wrapText="1"/>
      <protection locked="0"/>
    </xf>
    <xf numFmtId="0" fontId="8" fillId="2" borderId="3" xfId="1" applyFont="1" applyFill="1" applyBorder="1" applyAlignment="1" applyProtection="1">
      <alignment horizontal="center" wrapText="1"/>
      <protection locked="0"/>
    </xf>
    <xf numFmtId="0" fontId="0" fillId="8" borderId="1" xfId="0" applyFill="1" applyBorder="1" applyAlignment="1">
      <alignment horizontal="left" vertical="center" wrapText="1" indent="1"/>
    </xf>
    <xf numFmtId="0" fontId="0" fillId="8" borderId="2" xfId="0" applyFill="1" applyBorder="1" applyAlignment="1">
      <alignment horizontal="left" vertical="center" wrapText="1" indent="1"/>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center"/>
    </xf>
    <xf numFmtId="0" fontId="0" fillId="2" borderId="19" xfId="0" applyFill="1" applyBorder="1" applyAlignment="1" applyProtection="1">
      <alignment horizontal="left" vertical="center" wrapText="1" indent="1"/>
      <protection hidden="1"/>
    </xf>
    <xf numFmtId="0" fontId="0" fillId="2" borderId="20" xfId="0" applyFill="1" applyBorder="1" applyAlignment="1" applyProtection="1">
      <alignment horizontal="left" vertical="center" wrapText="1" indent="1"/>
      <protection hidden="1"/>
    </xf>
    <xf numFmtId="0" fontId="0" fillId="3" borderId="35" xfId="0" applyFill="1" applyBorder="1" applyAlignment="1" applyProtection="1">
      <alignment horizontal="center" vertical="center"/>
      <protection hidden="1"/>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3" borderId="5" xfId="0" applyFill="1" applyBorder="1" applyAlignment="1" applyProtection="1">
      <alignment horizontal="center" vertical="center" wrapText="1"/>
      <protection hidden="1"/>
    </xf>
    <xf numFmtId="0" fontId="0" fillId="3" borderId="6" xfId="0" applyFill="1" applyBorder="1" applyAlignment="1" applyProtection="1">
      <alignment horizontal="center" vertical="center" wrapText="1"/>
      <protection hidden="1"/>
    </xf>
    <xf numFmtId="0" fontId="0" fillId="0" borderId="0" xfId="0" applyBorder="1" applyAlignment="1" applyProtection="1">
      <alignment horizontal="left" vertical="center" indent="1"/>
      <protection locked="0"/>
    </xf>
    <xf numFmtId="0" fontId="0" fillId="0" borderId="18" xfId="0" applyBorder="1" applyAlignment="1" applyProtection="1">
      <alignment horizontal="left" vertical="center" indent="1"/>
      <protection locked="0"/>
    </xf>
    <xf numFmtId="0" fontId="0" fillId="0" borderId="10" xfId="0" applyBorder="1" applyAlignment="1" applyProtection="1">
      <alignment horizontal="left" indent="1"/>
      <protection locked="0"/>
    </xf>
    <xf numFmtId="0" fontId="0" fillId="0" borderId="16" xfId="0" applyBorder="1" applyAlignment="1" applyProtection="1">
      <alignment horizontal="left" indent="1"/>
      <protection locked="0"/>
    </xf>
    <xf numFmtId="0" fontId="0" fillId="0" borderId="49" xfId="0" applyBorder="1" applyAlignment="1" applyProtection="1">
      <alignment horizontal="left" vertical="center" indent="1"/>
      <protection locked="0"/>
    </xf>
    <xf numFmtId="0" fontId="0" fillId="0" borderId="20" xfId="0" applyBorder="1" applyAlignment="1" applyProtection="1">
      <alignment horizontal="left" vertical="center" indent="1"/>
      <protection locked="0"/>
    </xf>
    <xf numFmtId="0" fontId="0" fillId="0" borderId="21" xfId="0" applyBorder="1" applyAlignment="1" applyProtection="1">
      <alignment horizontal="left" vertical="center" indent="1"/>
      <protection locked="0"/>
    </xf>
    <xf numFmtId="0" fontId="0" fillId="2" borderId="5" xfId="0" applyFill="1" applyBorder="1" applyAlignment="1">
      <alignment horizontal="center"/>
    </xf>
    <xf numFmtId="0" fontId="10" fillId="4" borderId="5" xfId="0" applyFont="1" applyFill="1" applyBorder="1" applyAlignment="1" applyProtection="1">
      <alignment horizontal="center"/>
      <protection locked="0"/>
    </xf>
    <xf numFmtId="0" fontId="0" fillId="0" borderId="15" xfId="0" applyBorder="1" applyAlignment="1" applyProtection="1">
      <alignment horizontal="left" vertical="center" wrapText="1"/>
      <protection hidden="1"/>
    </xf>
    <xf numFmtId="0" fontId="0" fillId="0" borderId="10" xfId="0" applyBorder="1" applyAlignment="1" applyProtection="1">
      <alignment horizontal="left" vertical="center" wrapText="1"/>
      <protection hidden="1"/>
    </xf>
    <xf numFmtId="0" fontId="0" fillId="0" borderId="16" xfId="0" applyBorder="1" applyAlignment="1" applyProtection="1">
      <alignment horizontal="left" vertical="center" wrapText="1"/>
      <protection hidden="1"/>
    </xf>
    <xf numFmtId="0" fontId="0" fillId="0" borderId="17" xfId="0" applyBorder="1" applyAlignment="1" applyProtection="1">
      <alignment horizontal="left" vertical="center" wrapText="1"/>
      <protection hidden="1"/>
    </xf>
    <xf numFmtId="0" fontId="0" fillId="0" borderId="0" xfId="0" applyAlignment="1" applyProtection="1">
      <alignment horizontal="left" vertical="center" wrapText="1"/>
      <protection hidden="1"/>
    </xf>
    <xf numFmtId="0" fontId="0" fillId="0" borderId="18" xfId="0" applyBorder="1" applyAlignment="1" applyProtection="1">
      <alignment horizontal="left" vertical="center" wrapText="1"/>
      <protection hidden="1"/>
    </xf>
    <xf numFmtId="0" fontId="0" fillId="0" borderId="19" xfId="0" applyBorder="1" applyAlignment="1" applyProtection="1">
      <alignment horizontal="left" vertical="center" wrapText="1"/>
      <protection hidden="1"/>
    </xf>
    <xf numFmtId="0" fontId="0" fillId="0" borderId="20" xfId="0" applyBorder="1" applyAlignment="1" applyProtection="1">
      <alignment horizontal="left" vertical="center" wrapText="1"/>
      <protection hidden="1"/>
    </xf>
    <xf numFmtId="0" fontId="0" fillId="0" borderId="21" xfId="0" applyBorder="1" applyAlignment="1" applyProtection="1">
      <alignment horizontal="left" vertical="center" wrapText="1"/>
      <protection hidden="1"/>
    </xf>
    <xf numFmtId="0" fontId="0" fillId="3" borderId="4" xfId="0" applyFill="1" applyBorder="1" applyAlignment="1" applyProtection="1">
      <alignment horizontal="center" vertical="center" wrapText="1"/>
      <protection hidden="1"/>
    </xf>
    <xf numFmtId="0" fontId="0" fillId="3" borderId="25" xfId="0" applyFill="1" applyBorder="1" applyAlignment="1" applyProtection="1">
      <alignment horizontal="center" vertical="center" wrapText="1"/>
      <protection hidden="1"/>
    </xf>
    <xf numFmtId="0" fontId="0" fillId="4" borderId="4" xfId="0" applyFill="1" applyBorder="1" applyAlignment="1" applyProtection="1">
      <alignment horizontal="center" vertical="center" wrapText="1"/>
      <protection hidden="1"/>
    </xf>
    <xf numFmtId="0" fontId="0" fillId="4" borderId="25" xfId="0" applyFill="1" applyBorder="1" applyAlignment="1" applyProtection="1">
      <alignment horizontal="center" vertical="center" wrapText="1"/>
      <protection hidden="1"/>
    </xf>
    <xf numFmtId="0" fontId="0" fillId="0" borderId="4" xfId="0" applyBorder="1" applyAlignment="1" applyProtection="1">
      <alignment horizontal="center" vertical="center" wrapText="1"/>
      <protection hidden="1"/>
    </xf>
    <xf numFmtId="0" fontId="0" fillId="0" borderId="5" xfId="0" applyBorder="1" applyAlignment="1" applyProtection="1">
      <alignment horizontal="center" vertical="center" wrapText="1"/>
      <protection hidden="1"/>
    </xf>
    <xf numFmtId="0" fontId="0" fillId="0" borderId="6" xfId="0" applyBorder="1" applyAlignment="1" applyProtection="1">
      <alignment horizontal="center" vertical="center" wrapText="1"/>
      <protection hidden="1"/>
    </xf>
    <xf numFmtId="0" fontId="0" fillId="3" borderId="8" xfId="0" applyFill="1" applyBorder="1" applyAlignment="1" applyProtection="1">
      <alignment horizontal="center" vertical="center" wrapText="1"/>
      <protection hidden="1"/>
    </xf>
    <xf numFmtId="0" fontId="0" fillId="3" borderId="9" xfId="0" applyFill="1" applyBorder="1" applyAlignment="1" applyProtection="1">
      <alignment horizontal="center" vertical="center" wrapText="1"/>
      <protection hidden="1"/>
    </xf>
    <xf numFmtId="0" fontId="0" fillId="5" borderId="4" xfId="0" applyFill="1" applyBorder="1" applyAlignment="1" applyProtection="1">
      <alignment horizontal="center" vertical="center" wrapText="1"/>
      <protection hidden="1"/>
    </xf>
    <xf numFmtId="0" fontId="0" fillId="5" borderId="25" xfId="0" applyFill="1" applyBorder="1" applyAlignment="1" applyProtection="1">
      <alignment horizontal="center" vertical="center" wrapText="1"/>
      <protection hidden="1"/>
    </xf>
    <xf numFmtId="0" fontId="0" fillId="6" borderId="4" xfId="0" applyFill="1" applyBorder="1" applyAlignment="1" applyProtection="1">
      <alignment horizontal="center" vertical="center" wrapText="1"/>
      <protection hidden="1"/>
    </xf>
    <xf numFmtId="0" fontId="0" fillId="6" borderId="25" xfId="0" applyFill="1" applyBorder="1" applyAlignment="1" applyProtection="1">
      <alignment horizontal="center" vertical="center" wrapText="1"/>
      <protection hidden="1"/>
    </xf>
    <xf numFmtId="0" fontId="0" fillId="0" borderId="26" xfId="0" applyBorder="1" applyAlignment="1" applyProtection="1">
      <alignment horizontal="center" vertical="center" wrapText="1"/>
      <protection hidden="1"/>
    </xf>
    <xf numFmtId="0" fontId="0" fillId="0" borderId="27" xfId="0" applyBorder="1" applyAlignment="1" applyProtection="1">
      <alignment horizontal="center" vertical="center" wrapText="1"/>
      <protection hidden="1"/>
    </xf>
    <xf numFmtId="0" fontId="0" fillId="0" borderId="28" xfId="0" applyBorder="1" applyAlignment="1" applyProtection="1">
      <alignment horizontal="center" vertical="center" wrapText="1"/>
      <protection hidden="1"/>
    </xf>
    <xf numFmtId="0" fontId="0" fillId="0" borderId="29" xfId="0" applyBorder="1" applyAlignment="1" applyProtection="1">
      <alignment horizontal="center" vertical="center" wrapText="1"/>
      <protection hidden="1"/>
    </xf>
    <xf numFmtId="0" fontId="0" fillId="2" borderId="13" xfId="0" applyFill="1" applyBorder="1" applyAlignment="1" applyProtection="1">
      <alignment horizontal="center" vertical="center" wrapText="1"/>
      <protection hidden="1"/>
    </xf>
    <xf numFmtId="0" fontId="0" fillId="2" borderId="14" xfId="0" applyFill="1" applyBorder="1" applyAlignment="1" applyProtection="1">
      <alignment horizontal="center" vertical="center" wrapText="1"/>
      <protection hidden="1"/>
    </xf>
    <xf numFmtId="0" fontId="0" fillId="2" borderId="22" xfId="0" applyFill="1" applyBorder="1" applyAlignment="1" applyProtection="1">
      <alignment horizontal="center" vertical="center" wrapText="1"/>
      <protection hidden="1"/>
    </xf>
    <xf numFmtId="0" fontId="0" fillId="2" borderId="23" xfId="0" applyFill="1" applyBorder="1" applyAlignment="1" applyProtection="1">
      <alignment horizontal="center" vertical="center" wrapText="1"/>
      <protection hidden="1"/>
    </xf>
    <xf numFmtId="0" fontId="0" fillId="2" borderId="24" xfId="0" applyFill="1" applyBorder="1" applyAlignment="1" applyProtection="1">
      <alignment horizontal="center" vertical="center" wrapText="1"/>
      <protection hidden="1"/>
    </xf>
    <xf numFmtId="0" fontId="0" fillId="8" borderId="1" xfId="0" applyFill="1" applyBorder="1" applyAlignment="1">
      <alignment horizontal="left" vertical="top" wrapText="1"/>
    </xf>
    <xf numFmtId="0" fontId="0" fillId="8" borderId="3" xfId="0" applyFill="1" applyBorder="1" applyAlignment="1">
      <alignment horizontal="left" vertical="top" wrapText="1"/>
    </xf>
    <xf numFmtId="0" fontId="0" fillId="2" borderId="1" xfId="0" applyFill="1" applyBorder="1" applyAlignment="1" applyProtection="1">
      <alignment horizontal="left" vertical="top" wrapText="1"/>
      <protection hidden="1"/>
    </xf>
    <xf numFmtId="0" fontId="0" fillId="2" borderId="3" xfId="0" applyFill="1" applyBorder="1" applyAlignment="1" applyProtection="1">
      <alignment horizontal="left" vertical="top" wrapText="1"/>
      <protection hidden="1"/>
    </xf>
    <xf numFmtId="0" fontId="0" fillId="3" borderId="34" xfId="0" applyFill="1" applyBorder="1" applyAlignment="1" applyProtection="1">
      <alignment horizontal="center" vertical="center"/>
      <protection hidden="1"/>
    </xf>
    <xf numFmtId="0" fontId="0" fillId="3" borderId="32" xfId="0" applyFill="1" applyBorder="1" applyAlignment="1" applyProtection="1">
      <alignment horizontal="center" vertical="center"/>
      <protection hidden="1"/>
    </xf>
    <xf numFmtId="0" fontId="0" fillId="2" borderId="19" xfId="0" applyFill="1" applyBorder="1" applyAlignment="1" applyProtection="1">
      <alignment horizontal="left" vertical="top" wrapText="1"/>
      <protection hidden="1"/>
    </xf>
    <xf numFmtId="0" fontId="0" fillId="2" borderId="21" xfId="0" applyFill="1" applyBorder="1" applyAlignment="1" applyProtection="1">
      <alignment horizontal="left" vertical="top" wrapText="1"/>
      <protection hidden="1"/>
    </xf>
    <xf numFmtId="0" fontId="4" fillId="0" borderId="1"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0" fillId="0" borderId="3" xfId="0" applyBorder="1" applyAlignment="1">
      <alignment horizontal="center"/>
    </xf>
    <xf numFmtId="0" fontId="0" fillId="3" borderId="30" xfId="0" applyFill="1" applyBorder="1" applyAlignment="1" applyProtection="1">
      <alignment horizontal="center" vertical="center"/>
      <protection hidden="1"/>
    </xf>
    <xf numFmtId="0" fontId="0" fillId="3" borderId="31" xfId="0" applyFill="1" applyBorder="1" applyAlignment="1" applyProtection="1">
      <alignment horizontal="center" vertical="center"/>
      <protection hidden="1"/>
    </xf>
    <xf numFmtId="0" fontId="0" fillId="2" borderId="1" xfId="0" applyFill="1" applyBorder="1" applyAlignment="1" applyProtection="1">
      <alignment horizontal="left" vertical="center" wrapText="1"/>
      <protection hidden="1"/>
    </xf>
    <xf numFmtId="0" fontId="0" fillId="2" borderId="3" xfId="0" applyFill="1" applyBorder="1" applyAlignment="1" applyProtection="1">
      <alignment horizontal="left" vertical="center" wrapText="1"/>
      <protection hidden="1"/>
    </xf>
    <xf numFmtId="0" fontId="0" fillId="3" borderId="33" xfId="0" applyFill="1" applyBorder="1" applyAlignment="1" applyProtection="1">
      <alignment horizontal="center" vertical="center"/>
      <protection hidden="1"/>
    </xf>
    <xf numFmtId="0" fontId="4" fillId="0" borderId="1" xfId="0" applyFont="1" applyBorder="1" applyAlignment="1" applyProtection="1">
      <alignment horizontal="center" vertical="center" wrapText="1"/>
      <protection hidden="1"/>
    </xf>
    <xf numFmtId="0" fontId="4" fillId="0" borderId="2" xfId="0" applyFont="1" applyBorder="1" applyAlignment="1" applyProtection="1">
      <alignment horizontal="center" vertical="center" wrapText="1"/>
      <protection hidden="1"/>
    </xf>
    <xf numFmtId="0" fontId="4" fillId="0" borderId="3" xfId="0" applyFont="1" applyBorder="1" applyAlignment="1" applyProtection="1">
      <alignment horizontal="center" vertical="center" wrapText="1"/>
      <protection hidden="1"/>
    </xf>
    <xf numFmtId="0" fontId="7" fillId="0" borderId="15"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0" xfId="0" applyFont="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1" xfId="0" applyFont="1" applyBorder="1" applyAlignment="1">
      <alignment horizontal="center" vertical="center" wrapText="1"/>
    </xf>
    <xf numFmtId="0" fontId="0" fillId="0" borderId="0" xfId="0" applyBorder="1" applyAlignment="1"/>
    <xf numFmtId="0" fontId="0" fillId="0" borderId="18" xfId="0" applyBorder="1" applyAlignment="1"/>
    <xf numFmtId="0" fontId="0" fillId="2" borderId="3" xfId="0" applyFill="1" applyBorder="1" applyAlignment="1" applyProtection="1">
      <alignment horizontal="left" vertical="center" wrapText="1" indent="1"/>
      <protection hidden="1"/>
    </xf>
    <xf numFmtId="0" fontId="0" fillId="0" borderId="15" xfId="0" applyBorder="1" applyAlignment="1" applyProtection="1">
      <alignment horizontal="left" vertical="center" wrapText="1" indent="1"/>
      <protection hidden="1"/>
    </xf>
    <xf numFmtId="0" fontId="0" fillId="0" borderId="10" xfId="0" applyBorder="1" applyAlignment="1" applyProtection="1">
      <alignment horizontal="left" vertical="center" wrapText="1" indent="1"/>
      <protection hidden="1"/>
    </xf>
    <xf numFmtId="0" fontId="0" fillId="0" borderId="16" xfId="0" applyBorder="1" applyAlignment="1" applyProtection="1">
      <alignment horizontal="left" vertical="center" wrapText="1" indent="1"/>
      <protection hidden="1"/>
    </xf>
    <xf numFmtId="0" fontId="0" fillId="0" borderId="17" xfId="0" applyBorder="1" applyAlignment="1" applyProtection="1">
      <alignment horizontal="left" vertical="center" wrapText="1" indent="1"/>
      <protection hidden="1"/>
    </xf>
    <xf numFmtId="0" fontId="0" fillId="0" borderId="0" xfId="0" applyAlignment="1" applyProtection="1">
      <alignment horizontal="left" vertical="center" wrapText="1" indent="1"/>
      <protection hidden="1"/>
    </xf>
    <xf numFmtId="0" fontId="0" fillId="0" borderId="18" xfId="0" applyBorder="1" applyAlignment="1" applyProtection="1">
      <alignment horizontal="left" vertical="center" wrapText="1" indent="1"/>
      <protection hidden="1"/>
    </xf>
    <xf numFmtId="0" fontId="0" fillId="0" borderId="19" xfId="0" applyBorder="1" applyAlignment="1" applyProtection="1">
      <alignment horizontal="left" vertical="center" wrapText="1" indent="1"/>
      <protection hidden="1"/>
    </xf>
    <xf numFmtId="0" fontId="0" fillId="0" borderId="20" xfId="0" applyBorder="1" applyAlignment="1" applyProtection="1">
      <alignment horizontal="left" vertical="center" wrapText="1" indent="1"/>
      <protection hidden="1"/>
    </xf>
    <xf numFmtId="0" fontId="0" fillId="0" borderId="21" xfId="0" applyBorder="1" applyAlignment="1" applyProtection="1">
      <alignment horizontal="left" vertical="center" wrapText="1" indent="1"/>
      <protection hidden="1"/>
    </xf>
    <xf numFmtId="0" fontId="10" fillId="4" borderId="8" xfId="0" applyFont="1" applyFill="1" applyBorder="1" applyAlignment="1" applyProtection="1">
      <alignment horizontal="center"/>
      <protection locked="0"/>
    </xf>
    <xf numFmtId="0" fontId="0" fillId="0" borderId="20" xfId="0" applyBorder="1" applyAlignment="1">
      <alignment horizontal="left" indent="1"/>
    </xf>
    <xf numFmtId="0" fontId="0" fillId="0" borderId="21" xfId="0" applyBorder="1" applyAlignment="1">
      <alignment horizontal="left" indent="1"/>
    </xf>
    <xf numFmtId="0" fontId="0" fillId="0" borderId="0" xfId="0" applyBorder="1" applyAlignment="1" applyProtection="1">
      <alignment horizontal="left" indent="1"/>
      <protection locked="0"/>
    </xf>
    <xf numFmtId="0" fontId="0" fillId="0" borderId="18" xfId="0" applyBorder="1" applyAlignment="1" applyProtection="1">
      <alignment horizontal="left" indent="1"/>
      <protection locked="0"/>
    </xf>
    <xf numFmtId="0" fontId="0" fillId="6" borderId="53" xfId="0" applyFill="1" applyBorder="1" applyAlignment="1" applyProtection="1">
      <alignment horizontal="center"/>
      <protection locked="0"/>
    </xf>
    <xf numFmtId="0" fontId="11" fillId="6" borderId="51" xfId="0" applyFont="1" applyFill="1" applyBorder="1" applyAlignment="1">
      <alignment horizontal="center"/>
    </xf>
    <xf numFmtId="0" fontId="0" fillId="12" borderId="7" xfId="0" applyFill="1" applyBorder="1" applyAlignment="1">
      <alignment horizontal="center"/>
    </xf>
    <xf numFmtId="0" fontId="11" fillId="12" borderId="4" xfId="0" applyFont="1" applyFill="1" applyBorder="1" applyAlignment="1" applyProtection="1">
      <alignment horizontal="center"/>
      <protection locked="0"/>
    </xf>
    <xf numFmtId="0" fontId="0" fillId="0" borderId="17" xfId="0" applyBorder="1" applyAlignment="1"/>
    <xf numFmtId="0" fontId="0" fillId="0" borderId="0" xfId="0" applyAlignment="1"/>
    <xf numFmtId="0" fontId="0" fillId="0" borderId="1" xfId="0" applyBorder="1" applyAlignment="1">
      <alignment horizontal="left" vertical="center" wrapText="1" indent="1"/>
    </xf>
    <xf numFmtId="0" fontId="0" fillId="0" borderId="2" xfId="0" applyBorder="1" applyAlignment="1">
      <alignment horizontal="left" vertical="center" wrapText="1" indent="1"/>
    </xf>
    <xf numFmtId="0" fontId="0" fillId="0" borderId="3" xfId="0" applyBorder="1" applyAlignment="1">
      <alignment horizontal="left" vertical="center" wrapText="1" indent="1"/>
    </xf>
  </cellXfs>
  <cellStyles count="2">
    <cellStyle name="Hyperlink" xfId="1" builtinId="8"/>
    <cellStyle name="Normal" xfId="0" builtinId="0"/>
  </cellStyles>
  <dxfs count="3">
    <dxf>
      <fill>
        <patternFill>
          <bgColor rgb="FFFFFF00"/>
        </patternFill>
      </fill>
    </dxf>
    <dxf>
      <font>
        <b/>
        <i val="0"/>
        <color rgb="FF00B050"/>
      </font>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hyperlink" Target="https://youtu.be/hHc3aN7I9sY" TargetMode="External"/><Relationship Id="rId2" Type="http://schemas.openxmlformats.org/officeDocument/2006/relationships/image" Target="../media/image1.png"/><Relationship Id="rId1" Type="http://schemas.openxmlformats.org/officeDocument/2006/relationships/hyperlink" Target="https://youtu.be/mJEFV7xkFwc" TargetMode="External"/></Relationships>
</file>

<file path=xl/drawings/drawing1.xml><?xml version="1.0" encoding="utf-8"?>
<xdr:wsDr xmlns:xdr="http://schemas.openxmlformats.org/drawingml/2006/spreadsheetDrawing" xmlns:a="http://schemas.openxmlformats.org/drawingml/2006/main">
  <xdr:twoCellAnchor editAs="oneCell">
    <xdr:from>
      <xdr:col>16</xdr:col>
      <xdr:colOff>389132</xdr:colOff>
      <xdr:row>35</xdr:row>
      <xdr:rowOff>6350</xdr:rowOff>
    </xdr:from>
    <xdr:to>
      <xdr:col>16</xdr:col>
      <xdr:colOff>904873</xdr:colOff>
      <xdr:row>35</xdr:row>
      <xdr:rowOff>396875</xdr:rowOff>
    </xdr:to>
    <xdr:pic>
      <xdr:nvPicPr>
        <xdr:cNvPr id="2" name="Picture 1">
          <a:hlinkClick xmlns:r="http://schemas.openxmlformats.org/officeDocument/2006/relationships" r:id="rId1"/>
          <a:extLst>
            <a:ext uri="{FF2B5EF4-FFF2-40B4-BE49-F238E27FC236}">
              <a16:creationId xmlns:a16="http://schemas.microsoft.com/office/drawing/2014/main" id="{9E86DF46-70CB-4D7A-AFAE-3BCE463927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950452" y="7260590"/>
          <a:ext cx="515741" cy="390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368300</xdr:colOff>
      <xdr:row>36</xdr:row>
      <xdr:rowOff>63500</xdr:rowOff>
    </xdr:from>
    <xdr:to>
      <xdr:col>16</xdr:col>
      <xdr:colOff>942975</xdr:colOff>
      <xdr:row>36</xdr:row>
      <xdr:rowOff>502345</xdr:rowOff>
    </xdr:to>
    <xdr:pic>
      <xdr:nvPicPr>
        <xdr:cNvPr id="3" name="Picture 2">
          <a:hlinkClick xmlns:r="http://schemas.openxmlformats.org/officeDocument/2006/relationships" r:id="rId3"/>
          <a:extLst>
            <a:ext uri="{FF2B5EF4-FFF2-40B4-BE49-F238E27FC236}">
              <a16:creationId xmlns:a16="http://schemas.microsoft.com/office/drawing/2014/main" id="{7A06CDEE-BC57-46CA-A110-4B32C9D92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929620" y="7744460"/>
          <a:ext cx="574675" cy="4388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youtu.be/0kVtUP0Dwb8"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2F618-95E1-43F2-9FA9-C26EFDC8D807}">
  <dimension ref="B1:I10"/>
  <sheetViews>
    <sheetView tabSelected="1" workbookViewId="0">
      <selection activeCell="B2" sqref="B2"/>
    </sheetView>
  </sheetViews>
  <sheetFormatPr defaultRowHeight="15"/>
  <cols>
    <col min="2" max="2" width="64" bestFit="1" customWidth="1"/>
  </cols>
  <sheetData>
    <row r="1" spans="2:9" ht="15.75" thickBot="1"/>
    <row r="2" spans="2:9" ht="15" customHeight="1" thickBot="1">
      <c r="B2" s="52" t="s">
        <v>0</v>
      </c>
      <c r="D2" s="89" t="s">
        <v>1</v>
      </c>
      <c r="E2" s="90"/>
      <c r="F2" s="90"/>
      <c r="G2" s="90"/>
      <c r="H2" s="90"/>
      <c r="I2" s="91"/>
    </row>
    <row r="3" spans="2:9">
      <c r="B3" t="s">
        <v>2</v>
      </c>
      <c r="D3" s="92"/>
      <c r="E3" s="93"/>
      <c r="F3" s="93"/>
      <c r="G3" s="93"/>
      <c r="H3" s="93"/>
      <c r="I3" s="94"/>
    </row>
    <row r="4" spans="2:9">
      <c r="B4" s="53" t="s">
        <v>3</v>
      </c>
      <c r="D4" s="92"/>
      <c r="E4" s="93"/>
      <c r="F4" s="93"/>
      <c r="G4" s="93"/>
      <c r="H4" s="93"/>
      <c r="I4" s="94"/>
    </row>
    <row r="5" spans="2:9">
      <c r="B5" s="53" t="s">
        <v>4</v>
      </c>
      <c r="D5" s="92"/>
      <c r="E5" s="93"/>
      <c r="F5" s="93"/>
      <c r="G5" s="93"/>
      <c r="H5" s="93"/>
      <c r="I5" s="94"/>
    </row>
    <row r="6" spans="2:9">
      <c r="D6" s="92"/>
      <c r="E6" s="93"/>
      <c r="F6" s="93"/>
      <c r="G6" s="93"/>
      <c r="H6" s="93"/>
      <c r="I6" s="94"/>
    </row>
    <row r="7" spans="2:9" ht="15.75" thickBot="1">
      <c r="D7" s="95"/>
      <c r="E7" s="96"/>
      <c r="F7" s="96"/>
      <c r="G7" s="96"/>
      <c r="H7" s="96"/>
      <c r="I7" s="97"/>
    </row>
    <row r="8" spans="2:9" ht="19.5" thickBot="1">
      <c r="B8" s="52" t="s">
        <v>5</v>
      </c>
      <c r="D8" s="54"/>
      <c r="E8" s="54"/>
      <c r="F8" s="54"/>
      <c r="G8" s="54"/>
    </row>
    <row r="9" spans="2:9">
      <c r="B9" s="55" t="s">
        <v>6</v>
      </c>
    </row>
    <row r="10" spans="2:9">
      <c r="B10" s="53"/>
    </row>
  </sheetData>
  <mergeCells count="1">
    <mergeCell ref="D2: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781E8-8BCA-4604-9AA0-98AEDF949CBB}">
  <dimension ref="A1:T41"/>
  <sheetViews>
    <sheetView topLeftCell="A17" workbookViewId="0">
      <selection activeCell="L20" sqref="L20:N20"/>
    </sheetView>
  </sheetViews>
  <sheetFormatPr defaultRowHeight="15"/>
  <cols>
    <col min="1" max="1" width="14.42578125" customWidth="1"/>
    <col min="2" max="2" width="10.42578125" customWidth="1"/>
    <col min="4" max="4" width="13.5703125" customWidth="1"/>
    <col min="11" max="11" width="11.42578125" customWidth="1"/>
    <col min="17" max="17" width="19.140625" customWidth="1"/>
  </cols>
  <sheetData>
    <row r="1" spans="1:16" ht="15" customHeight="1">
      <c r="A1" s="126" t="s">
        <v>7</v>
      </c>
      <c r="B1" s="127"/>
      <c r="C1" s="127"/>
      <c r="D1" s="127"/>
      <c r="E1" s="127"/>
      <c r="F1" s="127"/>
      <c r="G1" s="127"/>
      <c r="H1" s="127"/>
      <c r="I1" s="127"/>
      <c r="J1" s="127"/>
      <c r="K1" s="127"/>
      <c r="L1" s="127"/>
      <c r="M1" s="127"/>
      <c r="N1" s="127"/>
      <c r="O1" s="127"/>
      <c r="P1" s="128"/>
    </row>
    <row r="2" spans="1:16">
      <c r="A2" s="129"/>
      <c r="B2" s="130"/>
      <c r="C2" s="130"/>
      <c r="D2" s="130"/>
      <c r="E2" s="130"/>
      <c r="F2" s="130"/>
      <c r="G2" s="130"/>
      <c r="H2" s="130"/>
      <c r="I2" s="130"/>
      <c r="J2" s="130"/>
      <c r="K2" s="130"/>
      <c r="L2" s="130"/>
      <c r="M2" s="130"/>
      <c r="N2" s="130"/>
      <c r="O2" s="130"/>
      <c r="P2" s="131"/>
    </row>
    <row r="3" spans="1:16">
      <c r="A3" s="129"/>
      <c r="B3" s="130"/>
      <c r="C3" s="130"/>
      <c r="D3" s="130"/>
      <c r="E3" s="130"/>
      <c r="F3" s="130"/>
      <c r="G3" s="130"/>
      <c r="H3" s="130"/>
      <c r="I3" s="130"/>
      <c r="J3" s="130"/>
      <c r="K3" s="130"/>
      <c r="L3" s="130"/>
      <c r="M3" s="130"/>
      <c r="N3" s="130"/>
      <c r="O3" s="130"/>
      <c r="P3" s="131"/>
    </row>
    <row r="4" spans="1:16">
      <c r="A4" s="129"/>
      <c r="B4" s="130"/>
      <c r="C4" s="130"/>
      <c r="D4" s="130"/>
      <c r="E4" s="130"/>
      <c r="F4" s="130"/>
      <c r="G4" s="130"/>
      <c r="H4" s="130"/>
      <c r="I4" s="130"/>
      <c r="J4" s="130"/>
      <c r="K4" s="130"/>
      <c r="L4" s="130"/>
      <c r="M4" s="130"/>
      <c r="N4" s="130"/>
      <c r="O4" s="130"/>
      <c r="P4" s="131"/>
    </row>
    <row r="5" spans="1:16">
      <c r="A5" s="129"/>
      <c r="B5" s="130"/>
      <c r="C5" s="130"/>
      <c r="D5" s="130"/>
      <c r="E5" s="130"/>
      <c r="F5" s="130"/>
      <c r="G5" s="130"/>
      <c r="H5" s="130"/>
      <c r="I5" s="130"/>
      <c r="J5" s="130"/>
      <c r="K5" s="130"/>
      <c r="L5" s="130"/>
      <c r="M5" s="130"/>
      <c r="N5" s="130"/>
      <c r="O5" s="130"/>
      <c r="P5" s="131"/>
    </row>
    <row r="6" spans="1:16">
      <c r="A6" s="129"/>
      <c r="B6" s="130"/>
      <c r="C6" s="130"/>
      <c r="D6" s="130"/>
      <c r="E6" s="130"/>
      <c r="F6" s="130"/>
      <c r="G6" s="130"/>
      <c r="H6" s="130"/>
      <c r="I6" s="130"/>
      <c r="J6" s="130"/>
      <c r="K6" s="130"/>
      <c r="L6" s="130"/>
      <c r="M6" s="130"/>
      <c r="N6" s="130"/>
      <c r="O6" s="130"/>
      <c r="P6" s="131"/>
    </row>
    <row r="7" spans="1:16">
      <c r="A7" s="129"/>
      <c r="B7" s="130"/>
      <c r="C7" s="130"/>
      <c r="D7" s="130"/>
      <c r="E7" s="130"/>
      <c r="F7" s="130"/>
      <c r="G7" s="130"/>
      <c r="H7" s="130"/>
      <c r="I7" s="130"/>
      <c r="J7" s="130"/>
      <c r="K7" s="130"/>
      <c r="L7" s="130"/>
      <c r="M7" s="130"/>
      <c r="N7" s="130"/>
      <c r="O7" s="130"/>
      <c r="P7" s="131"/>
    </row>
    <row r="8" spans="1:16">
      <c r="A8" s="129"/>
      <c r="B8" s="130"/>
      <c r="C8" s="130"/>
      <c r="D8" s="130"/>
      <c r="E8" s="130"/>
      <c r="F8" s="130"/>
      <c r="G8" s="130"/>
      <c r="H8" s="130"/>
      <c r="I8" s="130"/>
      <c r="J8" s="130"/>
      <c r="K8" s="130"/>
      <c r="L8" s="130"/>
      <c r="M8" s="130"/>
      <c r="N8" s="130"/>
      <c r="O8" s="130"/>
      <c r="P8" s="131"/>
    </row>
    <row r="9" spans="1:16">
      <c r="A9" s="129"/>
      <c r="B9" s="130"/>
      <c r="C9" s="130"/>
      <c r="D9" s="130"/>
      <c r="E9" s="130"/>
      <c r="F9" s="130"/>
      <c r="G9" s="130"/>
      <c r="H9" s="130"/>
      <c r="I9" s="130"/>
      <c r="J9" s="130"/>
      <c r="K9" s="130"/>
      <c r="L9" s="130"/>
      <c r="M9" s="130"/>
      <c r="N9" s="130"/>
      <c r="O9" s="130"/>
      <c r="P9" s="131"/>
    </row>
    <row r="10" spans="1:16">
      <c r="A10" s="129"/>
      <c r="B10" s="130"/>
      <c r="C10" s="130"/>
      <c r="D10" s="130"/>
      <c r="E10" s="130"/>
      <c r="F10" s="130"/>
      <c r="G10" s="130"/>
      <c r="H10" s="130"/>
      <c r="I10" s="130"/>
      <c r="J10" s="130"/>
      <c r="K10" s="130"/>
      <c r="L10" s="130"/>
      <c r="M10" s="130"/>
      <c r="N10" s="130"/>
      <c r="O10" s="130"/>
      <c r="P10" s="131"/>
    </row>
    <row r="11" spans="1:16" ht="15.75" thickBot="1">
      <c r="A11" s="132"/>
      <c r="B11" s="133"/>
      <c r="C11" s="133"/>
      <c r="D11" s="133"/>
      <c r="E11" s="133"/>
      <c r="F11" s="133"/>
      <c r="G11" s="133"/>
      <c r="H11" s="133"/>
      <c r="I11" s="133"/>
      <c r="J11" s="133"/>
      <c r="K11" s="133"/>
      <c r="L11" s="133"/>
      <c r="M11" s="133"/>
      <c r="N11" s="133"/>
      <c r="O11" s="133"/>
      <c r="P11" s="134"/>
    </row>
    <row r="12" spans="1:16" ht="30.75" thickBot="1">
      <c r="B12" s="6" t="s">
        <v>8</v>
      </c>
      <c r="C12" s="152" t="s">
        <v>9</v>
      </c>
      <c r="D12" s="152"/>
      <c r="E12" s="7" t="s">
        <v>10</v>
      </c>
      <c r="F12" s="7" t="s">
        <v>11</v>
      </c>
      <c r="G12" s="152" t="s">
        <v>12</v>
      </c>
      <c r="H12" s="153"/>
    </row>
    <row r="13" spans="1:16">
      <c r="B13" s="1">
        <v>1</v>
      </c>
      <c r="C13" s="115" t="s">
        <v>13</v>
      </c>
      <c r="D13" s="115"/>
      <c r="E13" s="2" t="s">
        <v>10</v>
      </c>
      <c r="F13" s="2">
        <v>2.2046199999999998</v>
      </c>
      <c r="G13" s="115" t="s">
        <v>14</v>
      </c>
      <c r="H13" s="116"/>
      <c r="J13" s="154" t="s">
        <v>15</v>
      </c>
      <c r="K13" s="155"/>
      <c r="L13" s="155"/>
      <c r="M13" s="155"/>
      <c r="N13" s="156"/>
    </row>
    <row r="14" spans="1:16">
      <c r="B14" s="1">
        <v>1</v>
      </c>
      <c r="C14" s="115" t="s">
        <v>16</v>
      </c>
      <c r="D14" s="115"/>
      <c r="E14" s="2" t="s">
        <v>10</v>
      </c>
      <c r="F14" s="2">
        <v>29.573499999999999</v>
      </c>
      <c r="G14" s="115" t="s">
        <v>17</v>
      </c>
      <c r="H14" s="116"/>
      <c r="J14" s="135" t="s">
        <v>18</v>
      </c>
      <c r="K14" s="136"/>
      <c r="L14" s="135" t="s">
        <v>19</v>
      </c>
      <c r="M14" s="115"/>
      <c r="N14" s="116"/>
    </row>
    <row r="15" spans="1:16">
      <c r="B15" s="1">
        <v>1</v>
      </c>
      <c r="C15" s="115" t="s">
        <v>20</v>
      </c>
      <c r="D15" s="115"/>
      <c r="E15" s="2" t="s">
        <v>10</v>
      </c>
      <c r="F15" s="3">
        <v>28.349523125000001</v>
      </c>
      <c r="G15" s="115" t="s">
        <v>21</v>
      </c>
      <c r="H15" s="116"/>
      <c r="J15" s="137" t="s">
        <v>22</v>
      </c>
      <c r="K15" s="138"/>
      <c r="L15" s="139" t="s">
        <v>23</v>
      </c>
      <c r="M15" s="140"/>
      <c r="N15" s="141"/>
    </row>
    <row r="16" spans="1:16">
      <c r="B16" s="1">
        <v>1</v>
      </c>
      <c r="C16" s="115" t="s">
        <v>13</v>
      </c>
      <c r="D16" s="115"/>
      <c r="E16" s="2" t="s">
        <v>10</v>
      </c>
      <c r="F16" s="2">
        <v>1000</v>
      </c>
      <c r="G16" s="115" t="s">
        <v>21</v>
      </c>
      <c r="H16" s="116"/>
      <c r="J16" s="144" t="s">
        <v>24</v>
      </c>
      <c r="K16" s="145"/>
      <c r="L16" s="139" t="s">
        <v>25</v>
      </c>
      <c r="M16" s="140"/>
      <c r="N16" s="141"/>
    </row>
    <row r="17" spans="1:20">
      <c r="B17" s="1">
        <v>1</v>
      </c>
      <c r="C17" s="115" t="s">
        <v>21</v>
      </c>
      <c r="D17" s="115"/>
      <c r="E17" s="2" t="s">
        <v>10</v>
      </c>
      <c r="F17" s="2">
        <v>1000</v>
      </c>
      <c r="G17" s="115" t="s">
        <v>26</v>
      </c>
      <c r="H17" s="116"/>
      <c r="J17" s="146" t="s">
        <v>27</v>
      </c>
      <c r="K17" s="147"/>
      <c r="L17" s="139" t="s">
        <v>28</v>
      </c>
      <c r="M17" s="140"/>
      <c r="N17" s="141"/>
    </row>
    <row r="18" spans="1:20" ht="15.75" thickBot="1">
      <c r="B18" s="1">
        <v>1</v>
      </c>
      <c r="C18" s="115" t="s">
        <v>26</v>
      </c>
      <c r="D18" s="115"/>
      <c r="E18" s="2" t="s">
        <v>10</v>
      </c>
      <c r="F18" s="2">
        <v>1000</v>
      </c>
      <c r="G18" s="115" t="s">
        <v>29</v>
      </c>
      <c r="H18" s="116"/>
      <c r="J18" s="148" t="s">
        <v>30</v>
      </c>
      <c r="K18" s="149"/>
      <c r="L18" s="148" t="s">
        <v>31</v>
      </c>
      <c r="M18" s="150"/>
      <c r="N18" s="151"/>
    </row>
    <row r="19" spans="1:20">
      <c r="B19" s="1">
        <v>1</v>
      </c>
      <c r="C19" s="115" t="s">
        <v>32</v>
      </c>
      <c r="D19" s="115"/>
      <c r="E19" s="2" t="s">
        <v>10</v>
      </c>
      <c r="F19" s="3">
        <v>33.814022600000001</v>
      </c>
      <c r="G19" s="115" t="s">
        <v>33</v>
      </c>
      <c r="H19" s="116"/>
    </row>
    <row r="20" spans="1:20" ht="21.75" thickBot="1">
      <c r="B20" s="1">
        <v>1</v>
      </c>
      <c r="C20" s="115" t="s">
        <v>32</v>
      </c>
      <c r="D20" s="115"/>
      <c r="E20" s="2" t="s">
        <v>10</v>
      </c>
      <c r="F20" s="3">
        <v>0.26417205235800001</v>
      </c>
      <c r="G20" s="115" t="s">
        <v>34</v>
      </c>
      <c r="H20" s="116"/>
      <c r="J20" s="124" t="s">
        <v>35</v>
      </c>
      <c r="K20" s="124"/>
      <c r="L20" s="125" t="s">
        <v>130</v>
      </c>
      <c r="M20" s="198"/>
      <c r="N20" s="198"/>
    </row>
    <row r="21" spans="1:20">
      <c r="B21" s="1">
        <v>1</v>
      </c>
      <c r="C21" s="115" t="s">
        <v>36</v>
      </c>
      <c r="D21" s="115"/>
      <c r="E21" s="2" t="s">
        <v>10</v>
      </c>
      <c r="F21" s="3">
        <v>4.9289199999999997</v>
      </c>
      <c r="G21" s="115" t="s">
        <v>17</v>
      </c>
      <c r="H21" s="116"/>
      <c r="M21" s="203">
        <v>15</v>
      </c>
      <c r="N21" s="119" t="s">
        <v>39</v>
      </c>
      <c r="O21" s="119"/>
      <c r="P21" s="119"/>
      <c r="Q21" s="119"/>
      <c r="R21" s="120"/>
    </row>
    <row r="22" spans="1:20" ht="15.6" customHeight="1">
      <c r="B22" s="1">
        <v>1</v>
      </c>
      <c r="C22" s="115" t="s">
        <v>37</v>
      </c>
      <c r="D22" s="115"/>
      <c r="E22" s="2" t="s">
        <v>10</v>
      </c>
      <c r="F22" s="3">
        <v>3.28084</v>
      </c>
      <c r="G22" s="115" t="s">
        <v>38</v>
      </c>
      <c r="H22" s="116"/>
      <c r="M22" s="205">
        <v>15</v>
      </c>
      <c r="N22" s="117" t="s">
        <v>42</v>
      </c>
      <c r="O22" s="117"/>
      <c r="P22" s="117"/>
      <c r="Q22" s="117"/>
      <c r="R22" s="118"/>
    </row>
    <row r="23" spans="1:20" ht="15.6" customHeight="1" thickBot="1">
      <c r="B23" s="4">
        <v>1</v>
      </c>
      <c r="C23" s="142" t="s">
        <v>40</v>
      </c>
      <c r="D23" s="142"/>
      <c r="E23" s="5" t="s">
        <v>10</v>
      </c>
      <c r="F23" s="5">
        <v>24</v>
      </c>
      <c r="G23" s="142" t="s">
        <v>41</v>
      </c>
      <c r="H23" s="143"/>
      <c r="M23" s="206">
        <v>16</v>
      </c>
      <c r="N23" s="201" t="s">
        <v>44</v>
      </c>
      <c r="O23" s="201"/>
      <c r="P23" s="201"/>
      <c r="Q23" s="201"/>
      <c r="R23" s="202"/>
    </row>
    <row r="24" spans="1:20" ht="15.6" customHeight="1" thickBot="1">
      <c r="A24" s="189" t="s">
        <v>131</v>
      </c>
      <c r="B24" s="190"/>
      <c r="C24" s="190"/>
      <c r="D24" s="190"/>
      <c r="E24" s="190"/>
      <c r="F24" s="190"/>
      <c r="G24" s="190"/>
      <c r="H24" s="190"/>
      <c r="I24" s="190"/>
      <c r="J24" s="190"/>
      <c r="K24" s="191"/>
      <c r="M24" s="204">
        <v>16</v>
      </c>
      <c r="N24" s="199" t="s">
        <v>132</v>
      </c>
      <c r="O24" s="199"/>
      <c r="P24" s="199"/>
      <c r="Q24" s="199"/>
      <c r="R24" s="200"/>
      <c r="S24" s="207"/>
      <c r="T24" s="208"/>
    </row>
    <row r="25" spans="1:20" ht="15.75" hidden="1" thickBot="1">
      <c r="A25" s="192"/>
      <c r="B25" s="193"/>
      <c r="C25" s="193"/>
      <c r="D25" s="193"/>
      <c r="E25" s="193"/>
      <c r="F25" s="193"/>
      <c r="G25" s="193"/>
      <c r="H25" s="193"/>
      <c r="I25" s="193"/>
      <c r="J25" s="193"/>
      <c r="K25" s="194"/>
      <c r="M25" s="83">
        <v>16</v>
      </c>
      <c r="N25" s="121" t="s">
        <v>45</v>
      </c>
      <c r="O25" s="122"/>
      <c r="P25" s="122"/>
      <c r="Q25" s="122"/>
      <c r="R25" s="123"/>
    </row>
    <row r="26" spans="1:20" hidden="1">
      <c r="A26" s="192"/>
      <c r="B26" s="193"/>
      <c r="C26" s="193"/>
      <c r="D26" s="193"/>
      <c r="E26" s="193"/>
      <c r="F26" s="193"/>
      <c r="G26" s="193"/>
      <c r="H26" s="193"/>
      <c r="I26" s="193"/>
      <c r="J26" s="193"/>
      <c r="K26" s="194"/>
    </row>
    <row r="27" spans="1:20" hidden="1">
      <c r="A27" s="192"/>
      <c r="B27" s="193"/>
      <c r="C27" s="193"/>
      <c r="D27" s="193"/>
      <c r="E27" s="193"/>
      <c r="F27" s="193"/>
      <c r="G27" s="193"/>
      <c r="H27" s="193"/>
      <c r="I27" s="193"/>
      <c r="J27" s="193"/>
      <c r="K27" s="194"/>
    </row>
    <row r="28" spans="1:20" hidden="1">
      <c r="A28" s="192"/>
      <c r="B28" s="193"/>
      <c r="C28" s="193"/>
      <c r="D28" s="193"/>
      <c r="E28" s="193"/>
      <c r="F28" s="193"/>
      <c r="G28" s="193"/>
      <c r="H28" s="193"/>
      <c r="I28" s="193"/>
      <c r="J28" s="193"/>
      <c r="K28" s="194"/>
    </row>
    <row r="29" spans="1:20" hidden="1">
      <c r="A29" s="192"/>
      <c r="B29" s="193"/>
      <c r="C29" s="193"/>
      <c r="D29" s="193"/>
      <c r="E29" s="193"/>
      <c r="F29" s="193"/>
      <c r="G29" s="193"/>
      <c r="H29" s="193"/>
      <c r="I29" s="193"/>
      <c r="J29" s="193"/>
      <c r="K29" s="194"/>
    </row>
    <row r="30" spans="1:20" hidden="1">
      <c r="A30" s="192"/>
      <c r="B30" s="193"/>
      <c r="C30" s="193"/>
      <c r="D30" s="193"/>
      <c r="E30" s="193"/>
      <c r="F30" s="193"/>
      <c r="G30" s="193"/>
      <c r="H30" s="193"/>
      <c r="I30" s="193"/>
      <c r="J30" s="193"/>
      <c r="K30" s="194"/>
    </row>
    <row r="31" spans="1:20" ht="116.25" customHeight="1" thickBot="1">
      <c r="A31" s="195"/>
      <c r="B31" s="196"/>
      <c r="C31" s="196"/>
      <c r="D31" s="196"/>
      <c r="E31" s="196"/>
      <c r="F31" s="196"/>
      <c r="G31" s="196"/>
      <c r="H31" s="196"/>
      <c r="I31" s="196"/>
      <c r="J31" s="196"/>
      <c r="K31" s="197"/>
      <c r="M31" s="209" t="s">
        <v>133</v>
      </c>
      <c r="N31" s="210"/>
      <c r="O31" s="210"/>
      <c r="P31" s="210"/>
      <c r="Q31" s="210"/>
      <c r="R31" s="211"/>
    </row>
    <row r="32" spans="1:20" ht="17.100000000000001" customHeight="1" thickBot="1">
      <c r="A32" s="11"/>
      <c r="B32" s="10"/>
      <c r="C32" s="10"/>
      <c r="D32" s="10"/>
      <c r="E32" s="10"/>
      <c r="F32" s="10"/>
      <c r="G32" s="10"/>
      <c r="H32" s="10"/>
      <c r="I32" s="10"/>
      <c r="J32" s="10"/>
      <c r="K32" s="10"/>
    </row>
    <row r="33" spans="1:17" ht="16.5" customHeight="1" thickBot="1">
      <c r="A33" s="77"/>
      <c r="B33" s="84"/>
      <c r="C33" s="84"/>
      <c r="D33" s="84"/>
      <c r="E33" s="84"/>
      <c r="F33" s="98" t="s">
        <v>46</v>
      </c>
      <c r="G33" s="99"/>
      <c r="H33" s="99"/>
      <c r="I33" s="99"/>
      <c r="J33" s="99"/>
      <c r="K33" s="99"/>
      <c r="L33" s="99"/>
      <c r="M33" s="99"/>
      <c r="N33" s="99"/>
      <c r="O33" s="99"/>
      <c r="P33" s="100"/>
      <c r="Q33" s="77"/>
    </row>
    <row r="34" spans="1:17" ht="30.75" thickBot="1">
      <c r="A34" s="186"/>
      <c r="B34" s="187"/>
      <c r="C34" s="47" t="s">
        <v>47</v>
      </c>
      <c r="D34" s="47" t="s">
        <v>48</v>
      </c>
      <c r="E34" s="42" t="s">
        <v>49</v>
      </c>
      <c r="F34" s="85" t="s">
        <v>50</v>
      </c>
      <c r="G34" s="86" t="s">
        <v>51</v>
      </c>
      <c r="H34" s="30" t="s">
        <v>49</v>
      </c>
      <c r="I34" s="87" t="s">
        <v>52</v>
      </c>
      <c r="J34" s="30" t="s">
        <v>51</v>
      </c>
      <c r="K34" s="30" t="s">
        <v>49</v>
      </c>
      <c r="L34" s="30" t="s">
        <v>53</v>
      </c>
      <c r="M34" s="47" t="s">
        <v>51</v>
      </c>
      <c r="N34" s="30" t="s">
        <v>10</v>
      </c>
      <c r="O34" s="30" t="s">
        <v>54</v>
      </c>
      <c r="P34" s="88" t="s">
        <v>55</v>
      </c>
      <c r="Q34" s="78"/>
    </row>
    <row r="35" spans="1:17" ht="57.95" customHeight="1" thickBot="1">
      <c r="A35" s="113" t="s">
        <v>57</v>
      </c>
      <c r="B35" s="188"/>
      <c r="C35" s="62">
        <v>25</v>
      </c>
      <c r="D35" s="63" t="s">
        <v>58</v>
      </c>
      <c r="E35" s="64" t="s">
        <v>49</v>
      </c>
      <c r="F35" s="68">
        <f>F14/B14</f>
        <v>29.573499999999999</v>
      </c>
      <c r="G35" s="64" t="s">
        <v>59</v>
      </c>
      <c r="H35" s="64" t="s">
        <v>49</v>
      </c>
      <c r="I35" s="68">
        <f>B13/F13</f>
        <v>0.45359290943563974</v>
      </c>
      <c r="J35" s="64" t="s">
        <v>60</v>
      </c>
      <c r="K35" s="112"/>
      <c r="L35" s="112"/>
      <c r="M35" s="112"/>
      <c r="N35" s="64" t="s">
        <v>10</v>
      </c>
      <c r="O35" s="68">
        <f>C35*F35*I35</f>
        <v>335.35824767987231</v>
      </c>
      <c r="P35" s="76" t="s">
        <v>61</v>
      </c>
      <c r="Q35" s="78"/>
    </row>
    <row r="36" spans="1:17" ht="57.95" customHeight="1" thickBot="1">
      <c r="A36" s="113" t="s">
        <v>63</v>
      </c>
      <c r="B36" s="114"/>
      <c r="C36" s="62">
        <v>2.5</v>
      </c>
      <c r="D36" s="63" t="s">
        <v>64</v>
      </c>
      <c r="E36" s="64" t="s">
        <v>49</v>
      </c>
      <c r="F36" s="61"/>
      <c r="G36" s="65"/>
      <c r="H36" s="64" t="s">
        <v>49</v>
      </c>
      <c r="I36" s="61"/>
      <c r="J36" s="65"/>
      <c r="K36" s="112"/>
      <c r="L36" s="112"/>
      <c r="M36" s="112"/>
      <c r="N36" s="64" t="s">
        <v>10</v>
      </c>
      <c r="O36" s="61"/>
      <c r="P36" s="66"/>
      <c r="Q36" s="78"/>
    </row>
    <row r="37" spans="1:17" ht="57.95" customHeight="1" thickBot="1">
      <c r="A37" s="110" t="s">
        <v>65</v>
      </c>
      <c r="B37" s="111"/>
      <c r="C37" s="62">
        <v>5</v>
      </c>
      <c r="D37" s="63" t="s">
        <v>66</v>
      </c>
      <c r="E37" s="64" t="s">
        <v>49</v>
      </c>
      <c r="F37" s="61"/>
      <c r="G37" s="65"/>
      <c r="H37" s="64" t="s">
        <v>49</v>
      </c>
      <c r="I37" s="61"/>
      <c r="J37" s="65"/>
      <c r="K37" s="64" t="s">
        <v>49</v>
      </c>
      <c r="L37" s="61"/>
      <c r="M37" s="65"/>
      <c r="N37" s="64" t="s">
        <v>10</v>
      </c>
      <c r="O37" s="61"/>
      <c r="P37" s="66"/>
      <c r="Q37" s="75"/>
    </row>
    <row r="38" spans="1:17" ht="19.5" thickBot="1">
      <c r="A38" s="103" t="s">
        <v>67</v>
      </c>
      <c r="B38" s="104"/>
      <c r="C38" s="105"/>
      <c r="D38" s="105"/>
      <c r="E38" s="105"/>
      <c r="F38" s="105"/>
      <c r="G38" s="105"/>
      <c r="H38" s="105"/>
      <c r="I38" s="105"/>
      <c r="J38" s="105"/>
      <c r="K38" s="105"/>
      <c r="L38" s="105"/>
      <c r="M38" s="105"/>
      <c r="N38" s="105"/>
      <c r="O38" s="105"/>
      <c r="P38" s="106"/>
    </row>
    <row r="39" spans="1:17" ht="30.75" thickBot="1">
      <c r="A39" s="107"/>
      <c r="B39" s="108"/>
      <c r="C39" s="18" t="s">
        <v>47</v>
      </c>
      <c r="D39" s="18" t="s">
        <v>48</v>
      </c>
      <c r="E39" s="21" t="s">
        <v>49</v>
      </c>
      <c r="F39" s="8" t="s">
        <v>50</v>
      </c>
      <c r="G39" s="18" t="s">
        <v>51</v>
      </c>
      <c r="H39" s="8" t="s">
        <v>49</v>
      </c>
      <c r="I39" s="33" t="s">
        <v>52</v>
      </c>
      <c r="J39" s="18" t="s">
        <v>51</v>
      </c>
      <c r="K39" s="8" t="s">
        <v>49</v>
      </c>
      <c r="L39" s="18" t="s">
        <v>53</v>
      </c>
      <c r="M39" s="17" t="s">
        <v>51</v>
      </c>
      <c r="N39" s="25" t="s">
        <v>10</v>
      </c>
      <c r="O39" s="18" t="s">
        <v>54</v>
      </c>
      <c r="P39" s="28" t="s">
        <v>55</v>
      </c>
    </row>
    <row r="40" spans="1:17" ht="57.95" customHeight="1" thickBot="1">
      <c r="A40" s="113" t="s">
        <v>68</v>
      </c>
      <c r="B40" s="114"/>
      <c r="C40" s="62" t="str">
        <f>IF(L$20="Your Name!", "Enter Name in L20",ROUND(50*Random!D21,1)+1)</f>
        <v>Enter Name in L20</v>
      </c>
      <c r="D40" s="63" t="s">
        <v>58</v>
      </c>
      <c r="E40" s="64" t="s">
        <v>49</v>
      </c>
      <c r="F40" s="61"/>
      <c r="G40" s="65"/>
      <c r="H40" s="64" t="s">
        <v>49</v>
      </c>
      <c r="I40" s="61"/>
      <c r="J40" s="65"/>
      <c r="K40" s="112"/>
      <c r="L40" s="112"/>
      <c r="M40" s="112"/>
      <c r="N40" s="64" t="s">
        <v>10</v>
      </c>
      <c r="O40" s="61"/>
      <c r="P40" s="66"/>
    </row>
    <row r="41" spans="1:17" ht="57.95" customHeight="1" thickBot="1">
      <c r="A41" s="101" t="s">
        <v>69</v>
      </c>
      <c r="B41" s="102"/>
      <c r="C41" s="62" t="str">
        <f>IF(L$20="Your Name!", "Enter Name in L20",ROUND(50*Random!D22,1)+1)</f>
        <v>Enter Name in L20</v>
      </c>
      <c r="D41" s="67" t="s">
        <v>70</v>
      </c>
      <c r="E41" s="67" t="s">
        <v>49</v>
      </c>
      <c r="F41" s="79"/>
      <c r="G41" s="80"/>
      <c r="H41" s="67" t="s">
        <v>49</v>
      </c>
      <c r="I41" s="61"/>
      <c r="J41" s="80"/>
      <c r="K41" s="67" t="s">
        <v>49</v>
      </c>
      <c r="L41" s="79"/>
      <c r="M41" s="80"/>
      <c r="N41" s="67" t="s">
        <v>10</v>
      </c>
      <c r="O41" s="81"/>
      <c r="P41" s="82"/>
    </row>
  </sheetData>
  <sheetProtection algorithmName="SHA-512" hashValue="0cfGuQ1kMMCyKq8PbsihB5LIA8VirkeevZq0Ag9T/CwUBHeRtEDw/H0sy6usZwodltvfM6PvJXx8ariKtrVH4g==" saltValue="2ijSanNGCAUHhVXNfBCeQA==" spinCount="100000" sheet="1" objects="1" scenarios="1"/>
  <mergeCells count="56">
    <mergeCell ref="A1:P11"/>
    <mergeCell ref="C12:D12"/>
    <mergeCell ref="G12:H12"/>
    <mergeCell ref="C13:D13"/>
    <mergeCell ref="G13:H13"/>
    <mergeCell ref="J13:N13"/>
    <mergeCell ref="C14:D14"/>
    <mergeCell ref="G14:H14"/>
    <mergeCell ref="C15:D15"/>
    <mergeCell ref="G15:H15"/>
    <mergeCell ref="C16:D16"/>
    <mergeCell ref="G16:H16"/>
    <mergeCell ref="J14:K14"/>
    <mergeCell ref="L14:N14"/>
    <mergeCell ref="J15:K15"/>
    <mergeCell ref="L15:N15"/>
    <mergeCell ref="C23:D23"/>
    <mergeCell ref="G23:H23"/>
    <mergeCell ref="J16:K16"/>
    <mergeCell ref="L16:N16"/>
    <mergeCell ref="J17:K17"/>
    <mergeCell ref="L17:N17"/>
    <mergeCell ref="J18:K18"/>
    <mergeCell ref="L18:N18"/>
    <mergeCell ref="C20:D20"/>
    <mergeCell ref="G20:H20"/>
    <mergeCell ref="C21:D21"/>
    <mergeCell ref="G21:H21"/>
    <mergeCell ref="N23:R23"/>
    <mergeCell ref="N21:R21"/>
    <mergeCell ref="N25:R25"/>
    <mergeCell ref="J20:K20"/>
    <mergeCell ref="L20:N20"/>
    <mergeCell ref="A24:K31"/>
    <mergeCell ref="C22:D22"/>
    <mergeCell ref="G22:H22"/>
    <mergeCell ref="M31:R31"/>
    <mergeCell ref="N24:R24"/>
    <mergeCell ref="C17:D17"/>
    <mergeCell ref="G17:H17"/>
    <mergeCell ref="N22:R22"/>
    <mergeCell ref="C18:D18"/>
    <mergeCell ref="G18:H18"/>
    <mergeCell ref="C19:D19"/>
    <mergeCell ref="G19:H19"/>
    <mergeCell ref="F33:P33"/>
    <mergeCell ref="A41:B41"/>
    <mergeCell ref="A38:P38"/>
    <mergeCell ref="A39:B39"/>
    <mergeCell ref="A37:B37"/>
    <mergeCell ref="K40:M40"/>
    <mergeCell ref="A40:B40"/>
    <mergeCell ref="K35:M35"/>
    <mergeCell ref="K36:M36"/>
    <mergeCell ref="A35:B35"/>
    <mergeCell ref="A36:B36"/>
  </mergeCells>
  <conditionalFormatting sqref="F36:F37 I36:I37 O36:O37 L37 F40:F41 I40:I41 O40:O41 L41">
    <cfRule type="expression" dxfId="2" priority="2">
      <formula>AND(NOT(_xlfn.ISFORMULA(F36)),ISNUMBER(F36))</formula>
    </cfRule>
  </conditionalFormatting>
  <hyperlinks>
    <hyperlink ref="F33:P33" r:id="rId1" display="Watch the video explanations to follow along with A and B. " xr:uid="{D4845DE8-D5F4-4F90-9FF4-09724C7A2F62}"/>
  </hyperlinks>
  <pageMargins left="0.7" right="0.7" top="0.75" bottom="0.75" header="0.3" footer="0.3"/>
  <pageSetup orientation="portrait" r:id="rId2"/>
  <extLst>
    <ext xmlns:x14="http://schemas.microsoft.com/office/spreadsheetml/2009/9/main" uri="{78C0D931-6437-407d-A8EE-F0AAD7539E65}">
      <x14:conditionalFormattings>
        <x14:conditionalFormatting xmlns:xm="http://schemas.microsoft.com/office/excel/2006/main">
          <x14:cfRule type="expression" priority="1" id="{0363D946-460E-4934-8C6D-32BADCDEED5E}">
            <xm:f>O36=Solutions!O36</xm:f>
            <x14:dxf>
              <font>
                <b/>
                <i val="0"/>
                <color rgb="FF00B050"/>
              </font>
            </x14:dxf>
          </x14:cfRule>
          <xm:sqref>O36:P37 O40:P41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F4E6C-368D-4542-83C3-C132C34F33C8}">
  <dimension ref="A1:W55"/>
  <sheetViews>
    <sheetView topLeftCell="A10" workbookViewId="0">
      <selection activeCell="L11" sqref="L11"/>
    </sheetView>
  </sheetViews>
  <sheetFormatPr defaultRowHeight="15"/>
  <cols>
    <col min="5" max="6" width="11" bestFit="1" customWidth="1"/>
    <col min="8" max="8" width="11.5703125" bestFit="1" customWidth="1"/>
    <col min="9" max="9" width="11.42578125" bestFit="1" customWidth="1"/>
    <col min="10"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CODE(MID(Conversions!L$20,A6,1))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CODE(MID(Conversions!L$20,A7,1))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CODE(MID(Conversions!L$20,A8,1))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CODE(MID(Conversions!L$20,A9,1))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CODE(MID(Conversions!L$20,A10,1))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71</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72</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73</v>
      </c>
      <c r="B13" s="72">
        <f t="shared" ref="B13:B55" ca="1" si="3">MOD(B12*F$11+F$12,F$13)</f>
        <v>22544</v>
      </c>
      <c r="C13">
        <f t="shared" ref="C13:C55" ca="1" si="4">IF(D13&lt;0.5,0,1)</f>
        <v>1</v>
      </c>
      <c r="D13">
        <f t="shared" ref="D13:D55" ca="1" si="5">B13/F$13</f>
        <v>0.68798828125</v>
      </c>
      <c r="E13">
        <f t="shared" ref="E13:E55"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74</v>
      </c>
      <c r="B14" s="72">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75</v>
      </c>
      <c r="B15" s="72">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76</v>
      </c>
      <c r="B16" s="72">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77</v>
      </c>
      <c r="B17" s="72">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78</v>
      </c>
      <c r="B18" s="72">
        <f t="shared" ca="1" si="3"/>
        <v>4805</v>
      </c>
      <c r="C18">
        <f t="shared" ca="1" si="4"/>
        <v>0</v>
      </c>
      <c r="D18">
        <f t="shared" ca="1" si="5"/>
        <v>0.146636962890625</v>
      </c>
      <c r="E18">
        <f t="shared" ca="1" si="6"/>
        <v>0</v>
      </c>
    </row>
    <row r="19" spans="1:23">
      <c r="A19" t="s">
        <v>79</v>
      </c>
      <c r="B19" s="72">
        <f t="shared" ca="1" si="3"/>
        <v>13338</v>
      </c>
      <c r="C19">
        <f t="shared" ca="1" si="4"/>
        <v>0</v>
      </c>
      <c r="D19">
        <f t="shared" ca="1" si="5"/>
        <v>0.40704345703125</v>
      </c>
      <c r="E19">
        <f t="shared" ca="1" si="6"/>
        <v>1</v>
      </c>
      <c r="H19" s="73">
        <f ca="1">1+E17</f>
        <v>5</v>
      </c>
      <c r="I19" s="71" t="str">
        <f ca="1">IF(H21=1,IF(H22=1,"-"&amp;H19&amp;"x - "&amp;H20,"-"&amp;H19&amp;"x + "&amp;H20),IF(H22=1,H19&amp;"x - "&amp;H20,H19&amp;"x + "&amp;H20))</f>
        <v>5x + 2</v>
      </c>
      <c r="J19" s="71">
        <f ca="1">IF(H21=1,-H19,H19)</f>
        <v>5</v>
      </c>
      <c r="K19" s="71" t="s">
        <v>80</v>
      </c>
    </row>
    <row r="20" spans="1:23">
      <c r="A20" t="s">
        <v>81</v>
      </c>
      <c r="B20" s="72">
        <f t="shared" ca="1" si="3"/>
        <v>19275</v>
      </c>
      <c r="C20">
        <f t="shared" ca="1" si="4"/>
        <v>1</v>
      </c>
      <c r="D20">
        <f t="shared" ca="1" si="5"/>
        <v>0.588226318359375</v>
      </c>
      <c r="E20">
        <f t="shared" ca="1" si="6"/>
        <v>3</v>
      </c>
      <c r="H20" s="73">
        <f ca="1">E19+1+E18</f>
        <v>2</v>
      </c>
      <c r="I20" s="71"/>
      <c r="J20" s="71">
        <f ca="1">IF(H22=1,-H20,H20)</f>
        <v>2</v>
      </c>
      <c r="K20" s="71" t="s">
        <v>82</v>
      </c>
    </row>
    <row r="21" spans="1:23">
      <c r="A21" t="s">
        <v>83</v>
      </c>
      <c r="B21" s="72">
        <f t="shared" ca="1" si="3"/>
        <v>6440</v>
      </c>
      <c r="C21">
        <f t="shared" ca="1" si="4"/>
        <v>0</v>
      </c>
      <c r="D21">
        <f t="shared" ca="1" si="5"/>
        <v>0.196533203125</v>
      </c>
      <c r="E21">
        <f t="shared" ca="1" si="6"/>
        <v>0</v>
      </c>
      <c r="G21" t="s">
        <v>84</v>
      </c>
      <c r="H21" s="73">
        <f ca="1">C18</f>
        <v>0</v>
      </c>
    </row>
    <row r="22" spans="1:23">
      <c r="A22" t="s">
        <v>85</v>
      </c>
      <c r="B22" s="72">
        <f t="shared" ca="1" si="3"/>
        <v>5697</v>
      </c>
      <c r="C22">
        <f t="shared" ca="1" si="4"/>
        <v>0</v>
      </c>
      <c r="D22">
        <f t="shared" ca="1" si="5"/>
        <v>0.173858642578125</v>
      </c>
      <c r="E22">
        <f t="shared" ca="1" si="6"/>
        <v>0</v>
      </c>
      <c r="G22" t="s">
        <v>86</v>
      </c>
      <c r="H22" s="73">
        <f ca="1">C19</f>
        <v>0</v>
      </c>
      <c r="M22" s="72"/>
    </row>
    <row r="23" spans="1:23">
      <c r="A23" t="s">
        <v>87</v>
      </c>
      <c r="B23" s="72">
        <f t="shared" ca="1" si="3"/>
        <v>30694</v>
      </c>
      <c r="C23">
        <f t="shared" ca="1" si="4"/>
        <v>1</v>
      </c>
      <c r="D23">
        <f t="shared" ca="1" si="5"/>
        <v>0.93670654296875</v>
      </c>
      <c r="E23">
        <f t="shared" ca="1" si="6"/>
        <v>4</v>
      </c>
      <c r="H23" s="73"/>
      <c r="I23" s="71" t="s">
        <v>49</v>
      </c>
      <c r="J23" s="71" t="s">
        <v>88</v>
      </c>
      <c r="M23" s="72"/>
    </row>
    <row r="24" spans="1:23">
      <c r="A24" t="s">
        <v>89</v>
      </c>
      <c r="B24" s="72">
        <f t="shared" ca="1" si="3"/>
        <v>20775</v>
      </c>
      <c r="C24">
        <f t="shared" ca="1" si="4"/>
        <v>1</v>
      </c>
      <c r="D24">
        <f t="shared" ca="1" si="5"/>
        <v>0.634002685546875</v>
      </c>
      <c r="E24">
        <f t="shared" ca="1" si="6"/>
        <v>3</v>
      </c>
      <c r="H24" s="74"/>
      <c r="I24" s="71">
        <f ca="1">E16+-5</f>
        <v>-4</v>
      </c>
      <c r="J24" s="71">
        <f ca="1">J$19*I24+J$20</f>
        <v>-18</v>
      </c>
      <c r="K24" s="71" t="str">
        <f ca="1">"("&amp;I24&amp;", "&amp;J24&amp;")"</f>
        <v>(-4, -18)</v>
      </c>
      <c r="M24" s="72"/>
    </row>
    <row r="25" spans="1:23">
      <c r="A25" t="s">
        <v>90</v>
      </c>
      <c r="B25" s="72">
        <f t="shared" ca="1" si="3"/>
        <v>8148</v>
      </c>
      <c r="C25">
        <f t="shared" ca="1" si="4"/>
        <v>0</v>
      </c>
      <c r="D25">
        <f t="shared" ca="1" si="5"/>
        <v>0.2486572265625</v>
      </c>
      <c r="E25">
        <f t="shared" ca="1" si="6"/>
        <v>0</v>
      </c>
      <c r="H25" s="73"/>
      <c r="I25" s="71">
        <f ca="1">I24+E17+1</f>
        <v>1</v>
      </c>
      <c r="J25" s="71">
        <f ca="1">J$19*I25+J$20</f>
        <v>7</v>
      </c>
      <c r="K25" s="71" t="str">
        <f ca="1">"("&amp;I25&amp;", "&amp;J25&amp;")"</f>
        <v>(1, 7)</v>
      </c>
      <c r="M25" s="72"/>
    </row>
    <row r="26" spans="1:23">
      <c r="A26" t="s">
        <v>91</v>
      </c>
      <c r="B26" s="72">
        <f t="shared" ca="1" si="3"/>
        <v>21885</v>
      </c>
      <c r="C26">
        <f t="shared" ca="1" si="4"/>
        <v>1</v>
      </c>
      <c r="D26">
        <f t="shared" ca="1" si="5"/>
        <v>0.667877197265625</v>
      </c>
      <c r="E26">
        <f t="shared" ca="1" si="6"/>
        <v>3</v>
      </c>
      <c r="H26" s="73"/>
      <c r="M26" s="72"/>
    </row>
    <row r="27" spans="1:23">
      <c r="A27" t="s">
        <v>92</v>
      </c>
      <c r="B27" s="72">
        <f t="shared" ca="1" si="3"/>
        <v>11378</v>
      </c>
      <c r="C27">
        <f t="shared" ca="1" si="4"/>
        <v>0</v>
      </c>
      <c r="D27">
        <f t="shared" ca="1" si="5"/>
        <v>0.34722900390625</v>
      </c>
      <c r="E27">
        <f t="shared" ca="1" si="6"/>
        <v>1</v>
      </c>
      <c r="L27" s="72"/>
    </row>
    <row r="28" spans="1:23">
      <c r="A28" t="s">
        <v>93</v>
      </c>
      <c r="B28" s="72">
        <f t="shared" ca="1" si="3"/>
        <v>22723</v>
      </c>
      <c r="C28">
        <f t="shared" ca="1" si="4"/>
        <v>1</v>
      </c>
      <c r="D28">
        <f t="shared" ca="1" si="5"/>
        <v>0.693450927734375</v>
      </c>
      <c r="E28">
        <f t="shared" ca="1" si="6"/>
        <v>3</v>
      </c>
      <c r="M28" s="72"/>
    </row>
    <row r="29" spans="1:23">
      <c r="A29" t="s">
        <v>94</v>
      </c>
      <c r="B29" s="72">
        <f t="shared" ca="1" si="3"/>
        <v>25920</v>
      </c>
      <c r="C29">
        <f t="shared" ca="1" si="4"/>
        <v>1</v>
      </c>
      <c r="D29">
        <f t="shared" ca="1" si="5"/>
        <v>0.791015625</v>
      </c>
      <c r="E29">
        <f t="shared" ca="1" si="6"/>
        <v>4</v>
      </c>
      <c r="M29" s="72"/>
    </row>
    <row r="30" spans="1:23">
      <c r="A30" t="s">
        <v>95</v>
      </c>
      <c r="B30" s="72">
        <f t="shared" ca="1" si="3"/>
        <v>19577</v>
      </c>
      <c r="C30">
        <f t="shared" ca="1" si="4"/>
        <v>1</v>
      </c>
      <c r="D30">
        <f t="shared" ca="1" si="5"/>
        <v>0.597442626953125</v>
      </c>
      <c r="E30">
        <f t="shared" ca="1" si="6"/>
        <v>3</v>
      </c>
      <c r="M30" s="72"/>
    </row>
    <row r="31" spans="1:23">
      <c r="A31" t="s">
        <v>96</v>
      </c>
      <c r="B31" s="72">
        <f t="shared" ca="1" si="3"/>
        <v>7614</v>
      </c>
      <c r="C31">
        <f t="shared" ca="1" si="4"/>
        <v>0</v>
      </c>
      <c r="D31">
        <f t="shared" ca="1" si="5"/>
        <v>0.23236083984375</v>
      </c>
      <c r="E31">
        <f t="shared" ca="1" si="6"/>
        <v>0</v>
      </c>
      <c r="M31" s="72"/>
    </row>
    <row r="32" spans="1:23">
      <c r="A32" t="s">
        <v>97</v>
      </c>
      <c r="B32" s="72">
        <f t="shared" ca="1" si="3"/>
        <v>15903</v>
      </c>
      <c r="C32">
        <f t="shared" ca="1" si="4"/>
        <v>0</v>
      </c>
      <c r="D32">
        <f t="shared" ca="1" si="5"/>
        <v>0.485321044921875</v>
      </c>
      <c r="E32">
        <f t="shared" ca="1" si="6"/>
        <v>1</v>
      </c>
      <c r="M32" s="72"/>
    </row>
    <row r="33" spans="1:13">
      <c r="A33" t="s">
        <v>98</v>
      </c>
      <c r="B33" s="72">
        <f t="shared" ca="1" si="3"/>
        <v>5484</v>
      </c>
      <c r="C33">
        <f t="shared" ca="1" si="4"/>
        <v>0</v>
      </c>
      <c r="D33">
        <f t="shared" ca="1" si="5"/>
        <v>0.1673583984375</v>
      </c>
      <c r="E33">
        <f t="shared" ca="1" si="6"/>
        <v>0</v>
      </c>
      <c r="M33" s="72"/>
    </row>
    <row r="34" spans="1:13">
      <c r="A34" t="s">
        <v>99</v>
      </c>
      <c r="B34" s="72">
        <f t="shared" ca="1" si="3"/>
        <v>14133</v>
      </c>
      <c r="C34">
        <f t="shared" ca="1" si="4"/>
        <v>0</v>
      </c>
      <c r="D34">
        <f t="shared" ca="1" si="5"/>
        <v>0.431304931640625</v>
      </c>
      <c r="E34">
        <f t="shared" ca="1" si="6"/>
        <v>1</v>
      </c>
      <c r="M34" s="72"/>
    </row>
    <row r="35" spans="1:13">
      <c r="A35" t="s">
        <v>100</v>
      </c>
      <c r="B35" s="72">
        <f t="shared" ca="1" si="3"/>
        <v>22474</v>
      </c>
      <c r="C35">
        <f t="shared" ca="1" si="4"/>
        <v>1</v>
      </c>
      <c r="D35">
        <f t="shared" ca="1" si="5"/>
        <v>0.68585205078125</v>
      </c>
      <c r="E35">
        <f t="shared" ca="1" si="6"/>
        <v>3</v>
      </c>
      <c r="M35" s="72"/>
    </row>
    <row r="36" spans="1:13">
      <c r="A36" t="s">
        <v>101</v>
      </c>
      <c r="B36" s="72">
        <f t="shared" ca="1" si="3"/>
        <v>7483</v>
      </c>
      <c r="C36">
        <f t="shared" ca="1" si="4"/>
        <v>0</v>
      </c>
      <c r="D36">
        <f t="shared" ca="1" si="5"/>
        <v>0.228363037109375</v>
      </c>
      <c r="E36">
        <f t="shared" ca="1" si="6"/>
        <v>0</v>
      </c>
      <c r="M36" s="72"/>
    </row>
    <row r="37" spans="1:13">
      <c r="A37" t="s">
        <v>102</v>
      </c>
      <c r="B37" s="72">
        <f t="shared" ca="1" si="3"/>
        <v>7256</v>
      </c>
      <c r="C37">
        <f t="shared" ca="1" si="4"/>
        <v>0</v>
      </c>
      <c r="D37">
        <f t="shared" ca="1" si="5"/>
        <v>0.221435546875</v>
      </c>
      <c r="E37">
        <f t="shared" ca="1" si="6"/>
        <v>0</v>
      </c>
      <c r="M37" s="72"/>
    </row>
    <row r="38" spans="1:13">
      <c r="A38" t="s">
        <v>103</v>
      </c>
      <c r="B38" s="72">
        <f t="shared" ca="1" si="3"/>
        <v>4529</v>
      </c>
      <c r="C38">
        <f t="shared" ca="1" si="4"/>
        <v>0</v>
      </c>
      <c r="D38">
        <f t="shared" ca="1" si="5"/>
        <v>0.138214111328125</v>
      </c>
      <c r="E38">
        <f t="shared" ca="1" si="6"/>
        <v>0</v>
      </c>
      <c r="M38" s="72"/>
    </row>
    <row r="39" spans="1:13">
      <c r="A39" t="s">
        <v>104</v>
      </c>
      <c r="B39" s="72">
        <f t="shared" ca="1" si="3"/>
        <v>9878</v>
      </c>
      <c r="C39">
        <f t="shared" ca="1" si="4"/>
        <v>0</v>
      </c>
      <c r="D39">
        <f t="shared" ca="1" si="5"/>
        <v>0.30145263671875</v>
      </c>
      <c r="E39">
        <f t="shared" ca="1" si="6"/>
        <v>1</v>
      </c>
      <c r="M39" s="72"/>
    </row>
    <row r="40" spans="1:13">
      <c r="A40" t="s">
        <v>105</v>
      </c>
      <c r="B40" s="72">
        <f t="shared" ca="1" si="3"/>
        <v>21015</v>
      </c>
      <c r="C40">
        <f t="shared" ca="1" si="4"/>
        <v>1</v>
      </c>
      <c r="D40">
        <f t="shared" ca="1" si="5"/>
        <v>0.641326904296875</v>
      </c>
      <c r="E40">
        <f t="shared" ca="1" si="6"/>
        <v>3</v>
      </c>
      <c r="M40" s="72"/>
    </row>
    <row r="41" spans="1:13">
      <c r="A41" t="s">
        <v>106</v>
      </c>
      <c r="B41" s="72">
        <f t="shared" ca="1" si="3"/>
        <v>9732</v>
      </c>
      <c r="C41">
        <f t="shared" ca="1" si="4"/>
        <v>0</v>
      </c>
      <c r="D41">
        <f t="shared" ca="1" si="5"/>
        <v>0.2969970703125</v>
      </c>
      <c r="E41">
        <f t="shared" ca="1" si="6"/>
        <v>1</v>
      </c>
      <c r="M41" s="72"/>
    </row>
    <row r="42" spans="1:13">
      <c r="A42" t="s">
        <v>107</v>
      </c>
      <c r="B42" s="72">
        <f t="shared" ca="1" si="3"/>
        <v>6125</v>
      </c>
      <c r="C42">
        <f t="shared" ca="1" si="4"/>
        <v>0</v>
      </c>
      <c r="D42">
        <f t="shared" ca="1" si="5"/>
        <v>0.186920166015625</v>
      </c>
      <c r="E42">
        <f t="shared" ca="1" si="6"/>
        <v>0</v>
      </c>
      <c r="M42" s="72"/>
    </row>
    <row r="43" spans="1:13">
      <c r="A43" t="s">
        <v>108</v>
      </c>
      <c r="B43" s="72">
        <f t="shared" ca="1" si="3"/>
        <v>5666</v>
      </c>
      <c r="C43">
        <f t="shared" ca="1" si="4"/>
        <v>0</v>
      </c>
      <c r="D43">
        <f t="shared" ca="1" si="5"/>
        <v>0.17291259765625</v>
      </c>
      <c r="E43">
        <f t="shared" ca="1" si="6"/>
        <v>0</v>
      </c>
      <c r="M43" s="72"/>
    </row>
    <row r="44" spans="1:13">
      <c r="A44" t="s">
        <v>109</v>
      </c>
      <c r="B44" s="72">
        <f t="shared" ca="1" si="3"/>
        <v>30899</v>
      </c>
      <c r="C44">
        <f t="shared" ca="1" si="4"/>
        <v>1</v>
      </c>
      <c r="D44">
        <f t="shared" ca="1" si="5"/>
        <v>0.942962646484375</v>
      </c>
      <c r="E44">
        <f t="shared" ca="1" si="6"/>
        <v>4</v>
      </c>
      <c r="M44" s="72"/>
    </row>
    <row r="45" spans="1:13">
      <c r="A45" t="s">
        <v>110</v>
      </c>
      <c r="B45" s="72">
        <f t="shared" ca="1" si="3"/>
        <v>7792</v>
      </c>
      <c r="C45">
        <f t="shared" ca="1" si="4"/>
        <v>0</v>
      </c>
      <c r="D45">
        <f t="shared" ca="1" si="5"/>
        <v>0.23779296875</v>
      </c>
      <c r="E45">
        <f t="shared" ca="1" si="6"/>
        <v>0</v>
      </c>
      <c r="M45" s="72"/>
    </row>
    <row r="46" spans="1:13">
      <c r="A46" t="s">
        <v>111</v>
      </c>
      <c r="B46" s="72">
        <f t="shared" ca="1" si="3"/>
        <v>17897</v>
      </c>
      <c r="C46">
        <f t="shared" ca="1" si="4"/>
        <v>1</v>
      </c>
      <c r="D46">
        <f t="shared" ca="1" si="5"/>
        <v>0.546173095703125</v>
      </c>
      <c r="E46">
        <f t="shared" ca="1" si="6"/>
        <v>3</v>
      </c>
    </row>
    <row r="47" spans="1:13">
      <c r="A47" t="s">
        <v>112</v>
      </c>
      <c r="B47" s="72">
        <f t="shared" ca="1" si="3"/>
        <v>29294</v>
      </c>
      <c r="C47">
        <f t="shared" ca="1" si="4"/>
        <v>1</v>
      </c>
      <c r="D47">
        <f t="shared" ca="1" si="5"/>
        <v>0.89398193359375</v>
      </c>
      <c r="E47">
        <f t="shared" ca="1" si="6"/>
        <v>4</v>
      </c>
    </row>
    <row r="48" spans="1:13">
      <c r="A48" t="s">
        <v>113</v>
      </c>
      <c r="B48" s="72">
        <f t="shared" ca="1" si="3"/>
        <v>27919</v>
      </c>
      <c r="C48">
        <f t="shared" ca="1" si="4"/>
        <v>1</v>
      </c>
      <c r="D48">
        <f t="shared" ca="1" si="5"/>
        <v>0.852020263671875</v>
      </c>
      <c r="E48">
        <f t="shared" ca="1" si="6"/>
        <v>4</v>
      </c>
    </row>
    <row r="49" spans="1:5">
      <c r="A49" t="s">
        <v>114</v>
      </c>
      <c r="B49" s="72">
        <f t="shared" ca="1" si="3"/>
        <v>12700</v>
      </c>
      <c r="C49">
        <f t="shared" ca="1" si="4"/>
        <v>0</v>
      </c>
      <c r="D49">
        <f t="shared" ca="1" si="5"/>
        <v>0.3875732421875</v>
      </c>
      <c r="E49">
        <f t="shared" ca="1" si="6"/>
        <v>1</v>
      </c>
    </row>
    <row r="50" spans="1:5">
      <c r="A50" t="s">
        <v>115</v>
      </c>
      <c r="B50" s="72">
        <f t="shared" ca="1" si="3"/>
        <v>22437</v>
      </c>
      <c r="C50">
        <f t="shared" ca="1" si="4"/>
        <v>1</v>
      </c>
      <c r="D50">
        <f t="shared" ca="1" si="5"/>
        <v>0.684722900390625</v>
      </c>
      <c r="E50">
        <f t="shared" ca="1" si="6"/>
        <v>3</v>
      </c>
    </row>
    <row r="51" spans="1:5">
      <c r="A51" t="s">
        <v>116</v>
      </c>
      <c r="B51" s="72">
        <f t="shared" ca="1" si="3"/>
        <v>18298</v>
      </c>
      <c r="C51">
        <f t="shared" ca="1" si="4"/>
        <v>1</v>
      </c>
      <c r="D51">
        <f t="shared" ca="1" si="5"/>
        <v>0.55841064453125</v>
      </c>
      <c r="E51">
        <f t="shared" ca="1" si="6"/>
        <v>3</v>
      </c>
    </row>
    <row r="52" spans="1:5">
      <c r="A52" t="s">
        <v>117</v>
      </c>
      <c r="B52" s="72">
        <f t="shared" ca="1" si="3"/>
        <v>19243</v>
      </c>
      <c r="C52">
        <f t="shared" ca="1" si="4"/>
        <v>1</v>
      </c>
      <c r="D52">
        <f t="shared" ca="1" si="5"/>
        <v>0.587249755859375</v>
      </c>
      <c r="E52">
        <f t="shared" ca="1" si="6"/>
        <v>3</v>
      </c>
    </row>
    <row r="53" spans="1:5">
      <c r="A53" t="s">
        <v>118</v>
      </c>
      <c r="B53" s="72">
        <f t="shared" ca="1" si="3"/>
        <v>19336</v>
      </c>
      <c r="C53">
        <f t="shared" ca="1" si="4"/>
        <v>1</v>
      </c>
      <c r="D53">
        <f t="shared" ca="1" si="5"/>
        <v>0.590087890625</v>
      </c>
      <c r="E53">
        <f t="shared" ca="1" si="6"/>
        <v>3</v>
      </c>
    </row>
    <row r="54" spans="1:5">
      <c r="A54" t="s">
        <v>119</v>
      </c>
      <c r="B54" s="72">
        <f t="shared" ca="1" si="3"/>
        <v>18721</v>
      </c>
      <c r="C54">
        <f t="shared" ca="1" si="4"/>
        <v>1</v>
      </c>
      <c r="D54">
        <f t="shared" ca="1" si="5"/>
        <v>0.571319580078125</v>
      </c>
      <c r="E54">
        <f t="shared" ca="1" si="6"/>
        <v>3</v>
      </c>
    </row>
    <row r="55" spans="1:5">
      <c r="A55" t="s">
        <v>120</v>
      </c>
      <c r="B55" s="72">
        <f t="shared" ca="1" si="3"/>
        <v>24902</v>
      </c>
      <c r="C55">
        <f t="shared" ca="1" si="4"/>
        <v>1</v>
      </c>
      <c r="D55">
        <f t="shared" ca="1" si="5"/>
        <v>0.75994873046875</v>
      </c>
      <c r="E55">
        <f t="shared" ca="1" si="6"/>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ACFC-F0F6-481D-A675-4F2F82948D64}">
  <dimension ref="A1:Q41"/>
  <sheetViews>
    <sheetView topLeftCell="A31" workbookViewId="0">
      <selection activeCell="C42" sqref="C42"/>
    </sheetView>
  </sheetViews>
  <sheetFormatPr defaultRowHeight="15"/>
  <cols>
    <col min="1" max="1" width="14.42578125" customWidth="1"/>
    <col min="2" max="2" width="10.42578125" customWidth="1"/>
    <col min="4" max="4" width="13.5703125" customWidth="1"/>
    <col min="17" max="17" width="19.140625" customWidth="1"/>
  </cols>
  <sheetData>
    <row r="1" spans="1:16" ht="15" customHeight="1">
      <c r="A1" s="126" t="s">
        <v>7</v>
      </c>
      <c r="B1" s="127"/>
      <c r="C1" s="127"/>
      <c r="D1" s="127"/>
      <c r="E1" s="127"/>
      <c r="F1" s="127"/>
      <c r="G1" s="127"/>
      <c r="H1" s="127"/>
      <c r="I1" s="127"/>
      <c r="J1" s="127"/>
      <c r="K1" s="127"/>
      <c r="L1" s="127"/>
      <c r="M1" s="127"/>
      <c r="N1" s="127"/>
      <c r="O1" s="127"/>
      <c r="P1" s="128"/>
    </row>
    <row r="2" spans="1:16">
      <c r="A2" s="129"/>
      <c r="B2" s="130"/>
      <c r="C2" s="130"/>
      <c r="D2" s="130"/>
      <c r="E2" s="130"/>
      <c r="F2" s="130"/>
      <c r="G2" s="130"/>
      <c r="H2" s="130"/>
      <c r="I2" s="130"/>
      <c r="J2" s="130"/>
      <c r="K2" s="130"/>
      <c r="L2" s="130"/>
      <c r="M2" s="130"/>
      <c r="N2" s="130"/>
      <c r="O2" s="130"/>
      <c r="P2" s="131"/>
    </row>
    <row r="3" spans="1:16">
      <c r="A3" s="129"/>
      <c r="B3" s="130"/>
      <c r="C3" s="130"/>
      <c r="D3" s="130"/>
      <c r="E3" s="130"/>
      <c r="F3" s="130"/>
      <c r="G3" s="130"/>
      <c r="H3" s="130"/>
      <c r="I3" s="130"/>
      <c r="J3" s="130"/>
      <c r="K3" s="130"/>
      <c r="L3" s="130"/>
      <c r="M3" s="130"/>
      <c r="N3" s="130"/>
      <c r="O3" s="130"/>
      <c r="P3" s="131"/>
    </row>
    <row r="4" spans="1:16">
      <c r="A4" s="129"/>
      <c r="B4" s="130"/>
      <c r="C4" s="130"/>
      <c r="D4" s="130"/>
      <c r="E4" s="130"/>
      <c r="F4" s="130"/>
      <c r="G4" s="130"/>
      <c r="H4" s="130"/>
      <c r="I4" s="130"/>
      <c r="J4" s="130"/>
      <c r="K4" s="130"/>
      <c r="L4" s="130"/>
      <c r="M4" s="130"/>
      <c r="N4" s="130"/>
      <c r="O4" s="130"/>
      <c r="P4" s="131"/>
    </row>
    <row r="5" spans="1:16">
      <c r="A5" s="129"/>
      <c r="B5" s="130"/>
      <c r="C5" s="130"/>
      <c r="D5" s="130"/>
      <c r="E5" s="130"/>
      <c r="F5" s="130"/>
      <c r="G5" s="130"/>
      <c r="H5" s="130"/>
      <c r="I5" s="130"/>
      <c r="J5" s="130"/>
      <c r="K5" s="130"/>
      <c r="L5" s="130"/>
      <c r="M5" s="130"/>
      <c r="N5" s="130"/>
      <c r="O5" s="130"/>
      <c r="P5" s="131"/>
    </row>
    <row r="6" spans="1:16">
      <c r="A6" s="129"/>
      <c r="B6" s="130"/>
      <c r="C6" s="130"/>
      <c r="D6" s="130"/>
      <c r="E6" s="130"/>
      <c r="F6" s="130"/>
      <c r="G6" s="130"/>
      <c r="H6" s="130"/>
      <c r="I6" s="130"/>
      <c r="J6" s="130"/>
      <c r="K6" s="130"/>
      <c r="L6" s="130"/>
      <c r="M6" s="130"/>
      <c r="N6" s="130"/>
      <c r="O6" s="130"/>
      <c r="P6" s="131"/>
    </row>
    <row r="7" spans="1:16">
      <c r="A7" s="129"/>
      <c r="B7" s="130"/>
      <c r="C7" s="130"/>
      <c r="D7" s="130"/>
      <c r="E7" s="130"/>
      <c r="F7" s="130"/>
      <c r="G7" s="130"/>
      <c r="H7" s="130"/>
      <c r="I7" s="130"/>
      <c r="J7" s="130"/>
      <c r="K7" s="130"/>
      <c r="L7" s="130"/>
      <c r="M7" s="130"/>
      <c r="N7" s="130"/>
      <c r="O7" s="130"/>
      <c r="P7" s="131"/>
    </row>
    <row r="8" spans="1:16">
      <c r="A8" s="129"/>
      <c r="B8" s="130"/>
      <c r="C8" s="130"/>
      <c r="D8" s="130"/>
      <c r="E8" s="130"/>
      <c r="F8" s="130"/>
      <c r="G8" s="130"/>
      <c r="H8" s="130"/>
      <c r="I8" s="130"/>
      <c r="J8" s="130"/>
      <c r="K8" s="130"/>
      <c r="L8" s="130"/>
      <c r="M8" s="130"/>
      <c r="N8" s="130"/>
      <c r="O8" s="130"/>
      <c r="P8" s="131"/>
    </row>
    <row r="9" spans="1:16">
      <c r="A9" s="129"/>
      <c r="B9" s="130"/>
      <c r="C9" s="130"/>
      <c r="D9" s="130"/>
      <c r="E9" s="130"/>
      <c r="F9" s="130"/>
      <c r="G9" s="130"/>
      <c r="H9" s="130"/>
      <c r="I9" s="130"/>
      <c r="J9" s="130"/>
      <c r="K9" s="130"/>
      <c r="L9" s="130"/>
      <c r="M9" s="130"/>
      <c r="N9" s="130"/>
      <c r="O9" s="130"/>
      <c r="P9" s="131"/>
    </row>
    <row r="10" spans="1:16">
      <c r="A10" s="129"/>
      <c r="B10" s="130"/>
      <c r="C10" s="130"/>
      <c r="D10" s="130"/>
      <c r="E10" s="130"/>
      <c r="F10" s="130"/>
      <c r="G10" s="130"/>
      <c r="H10" s="130"/>
      <c r="I10" s="130"/>
      <c r="J10" s="130"/>
      <c r="K10" s="130"/>
      <c r="L10" s="130"/>
      <c r="M10" s="130"/>
      <c r="N10" s="130"/>
      <c r="O10" s="130"/>
      <c r="P10" s="131"/>
    </row>
    <row r="11" spans="1:16" ht="15.75" thickBot="1">
      <c r="A11" s="132"/>
      <c r="B11" s="133"/>
      <c r="C11" s="133"/>
      <c r="D11" s="133"/>
      <c r="E11" s="133"/>
      <c r="F11" s="133"/>
      <c r="G11" s="133"/>
      <c r="H11" s="133"/>
      <c r="I11" s="133"/>
      <c r="J11" s="133"/>
      <c r="K11" s="133"/>
      <c r="L11" s="133"/>
      <c r="M11" s="133"/>
      <c r="N11" s="133"/>
      <c r="O11" s="133"/>
      <c r="P11" s="134"/>
    </row>
    <row r="12" spans="1:16" ht="30.75" thickBot="1">
      <c r="B12" s="6" t="s">
        <v>8</v>
      </c>
      <c r="C12" s="152" t="s">
        <v>9</v>
      </c>
      <c r="D12" s="152"/>
      <c r="E12" s="7" t="s">
        <v>10</v>
      </c>
      <c r="F12" s="7" t="s">
        <v>11</v>
      </c>
      <c r="G12" s="152" t="s">
        <v>12</v>
      </c>
      <c r="H12" s="153"/>
    </row>
    <row r="13" spans="1:16">
      <c r="B13" s="1">
        <v>1</v>
      </c>
      <c r="C13" s="115" t="s">
        <v>13</v>
      </c>
      <c r="D13" s="115"/>
      <c r="E13" s="2" t="s">
        <v>10</v>
      </c>
      <c r="F13" s="2">
        <v>2.2046199999999998</v>
      </c>
      <c r="G13" s="115" t="s">
        <v>14</v>
      </c>
      <c r="H13" s="116"/>
      <c r="J13" s="154" t="s">
        <v>15</v>
      </c>
      <c r="K13" s="155"/>
      <c r="L13" s="155"/>
      <c r="M13" s="155"/>
      <c r="N13" s="156"/>
    </row>
    <row r="14" spans="1:16">
      <c r="B14" s="1">
        <v>1</v>
      </c>
      <c r="C14" s="115" t="s">
        <v>16</v>
      </c>
      <c r="D14" s="115"/>
      <c r="E14" s="2" t="s">
        <v>10</v>
      </c>
      <c r="F14" s="2">
        <v>29.573499999999999</v>
      </c>
      <c r="G14" s="115" t="s">
        <v>17</v>
      </c>
      <c r="H14" s="116"/>
      <c r="J14" s="135" t="s">
        <v>18</v>
      </c>
      <c r="K14" s="136"/>
      <c r="L14" s="135" t="s">
        <v>19</v>
      </c>
      <c r="M14" s="115"/>
      <c r="N14" s="116"/>
    </row>
    <row r="15" spans="1:16">
      <c r="B15" s="1">
        <v>1</v>
      </c>
      <c r="C15" s="115" t="s">
        <v>20</v>
      </c>
      <c r="D15" s="115"/>
      <c r="E15" s="2" t="s">
        <v>10</v>
      </c>
      <c r="F15" s="3">
        <v>28.349523125000001</v>
      </c>
      <c r="G15" s="115" t="s">
        <v>21</v>
      </c>
      <c r="H15" s="116"/>
      <c r="J15" s="137" t="s">
        <v>22</v>
      </c>
      <c r="K15" s="138"/>
      <c r="L15" s="139" t="s">
        <v>23</v>
      </c>
      <c r="M15" s="140"/>
      <c r="N15" s="141"/>
    </row>
    <row r="16" spans="1:16">
      <c r="B16" s="1">
        <v>1</v>
      </c>
      <c r="C16" s="115" t="s">
        <v>13</v>
      </c>
      <c r="D16" s="115"/>
      <c r="E16" s="2" t="s">
        <v>10</v>
      </c>
      <c r="F16" s="2">
        <v>1000</v>
      </c>
      <c r="G16" s="115" t="s">
        <v>21</v>
      </c>
      <c r="H16" s="116"/>
      <c r="J16" s="144" t="s">
        <v>24</v>
      </c>
      <c r="K16" s="145"/>
      <c r="L16" s="139" t="s">
        <v>25</v>
      </c>
      <c r="M16" s="140"/>
      <c r="N16" s="141"/>
    </row>
    <row r="17" spans="1:14">
      <c r="B17" s="1">
        <v>1</v>
      </c>
      <c r="C17" s="115" t="s">
        <v>21</v>
      </c>
      <c r="D17" s="115"/>
      <c r="E17" s="2" t="s">
        <v>10</v>
      </c>
      <c r="F17" s="2">
        <v>1000</v>
      </c>
      <c r="G17" s="115" t="s">
        <v>26</v>
      </c>
      <c r="H17" s="116"/>
      <c r="J17" s="146" t="s">
        <v>27</v>
      </c>
      <c r="K17" s="147"/>
      <c r="L17" s="139" t="s">
        <v>28</v>
      </c>
      <c r="M17" s="140"/>
      <c r="N17" s="141"/>
    </row>
    <row r="18" spans="1:14" ht="15.75" thickBot="1">
      <c r="B18" s="1">
        <v>1</v>
      </c>
      <c r="C18" s="115" t="s">
        <v>26</v>
      </c>
      <c r="D18" s="115"/>
      <c r="E18" s="2" t="s">
        <v>10</v>
      </c>
      <c r="F18" s="2">
        <v>1000</v>
      </c>
      <c r="G18" s="115" t="s">
        <v>29</v>
      </c>
      <c r="H18" s="116"/>
      <c r="J18" s="148" t="s">
        <v>30</v>
      </c>
      <c r="K18" s="149"/>
      <c r="L18" s="148" t="s">
        <v>31</v>
      </c>
      <c r="M18" s="150"/>
      <c r="N18" s="151"/>
    </row>
    <row r="19" spans="1:14">
      <c r="B19" s="1">
        <v>1</v>
      </c>
      <c r="C19" s="115" t="s">
        <v>32</v>
      </c>
      <c r="D19" s="115"/>
      <c r="E19" s="2" t="s">
        <v>10</v>
      </c>
      <c r="F19" s="3">
        <v>33.814022600000001</v>
      </c>
      <c r="G19" s="115" t="s">
        <v>33</v>
      </c>
      <c r="H19" s="116"/>
    </row>
    <row r="20" spans="1:14">
      <c r="B20" s="1">
        <v>1</v>
      </c>
      <c r="C20" s="115" t="s">
        <v>32</v>
      </c>
      <c r="D20" s="115"/>
      <c r="E20" s="2" t="s">
        <v>10</v>
      </c>
      <c r="F20" s="3">
        <v>0.26417205235800001</v>
      </c>
      <c r="G20" s="115" t="s">
        <v>34</v>
      </c>
      <c r="H20" s="116"/>
    </row>
    <row r="21" spans="1:14">
      <c r="B21" s="1">
        <v>1</v>
      </c>
      <c r="C21" s="115" t="s">
        <v>36</v>
      </c>
      <c r="D21" s="115"/>
      <c r="E21" s="2" t="s">
        <v>10</v>
      </c>
      <c r="F21" s="3">
        <v>4.9289199999999997</v>
      </c>
      <c r="G21" s="115" t="s">
        <v>17</v>
      </c>
      <c r="H21" s="116"/>
    </row>
    <row r="22" spans="1:14">
      <c r="B22" s="1">
        <v>1</v>
      </c>
      <c r="C22" s="115" t="s">
        <v>37</v>
      </c>
      <c r="D22" s="115"/>
      <c r="E22" s="2" t="s">
        <v>10</v>
      </c>
      <c r="F22" s="3">
        <v>3.28084</v>
      </c>
      <c r="G22" s="115" t="s">
        <v>38</v>
      </c>
      <c r="H22" s="116"/>
    </row>
    <row r="23" spans="1:14" ht="15.75" thickBot="1">
      <c r="B23" s="4">
        <v>1</v>
      </c>
      <c r="C23" s="142" t="s">
        <v>40</v>
      </c>
      <c r="D23" s="142"/>
      <c r="E23" s="5" t="s">
        <v>10</v>
      </c>
      <c r="F23" s="5">
        <v>24</v>
      </c>
      <c r="G23" s="142" t="s">
        <v>41</v>
      </c>
      <c r="H23" s="143"/>
    </row>
    <row r="24" spans="1:14" ht="15" customHeight="1">
      <c r="A24" s="126" t="s">
        <v>43</v>
      </c>
      <c r="B24" s="127"/>
      <c r="C24" s="127"/>
      <c r="D24" s="127"/>
      <c r="E24" s="127"/>
      <c r="F24" s="127"/>
      <c r="G24" s="127"/>
      <c r="H24" s="127"/>
      <c r="I24" s="127"/>
      <c r="J24" s="127"/>
      <c r="K24" s="128"/>
    </row>
    <row r="25" spans="1:14">
      <c r="A25" s="129"/>
      <c r="B25" s="130"/>
      <c r="C25" s="130"/>
      <c r="D25" s="130"/>
      <c r="E25" s="130"/>
      <c r="F25" s="130"/>
      <c r="G25" s="130"/>
      <c r="H25" s="130"/>
      <c r="I25" s="130"/>
      <c r="J25" s="130"/>
      <c r="K25" s="131"/>
    </row>
    <row r="26" spans="1:14">
      <c r="A26" s="129"/>
      <c r="B26" s="130"/>
      <c r="C26" s="130"/>
      <c r="D26" s="130"/>
      <c r="E26" s="130"/>
      <c r="F26" s="130"/>
      <c r="G26" s="130"/>
      <c r="H26" s="130"/>
      <c r="I26" s="130"/>
      <c r="J26" s="130"/>
      <c r="K26" s="131"/>
    </row>
    <row r="27" spans="1:14">
      <c r="A27" s="129"/>
      <c r="B27" s="130"/>
      <c r="C27" s="130"/>
      <c r="D27" s="130"/>
      <c r="E27" s="130"/>
      <c r="F27" s="130"/>
      <c r="G27" s="130"/>
      <c r="H27" s="130"/>
      <c r="I27" s="130"/>
      <c r="J27" s="130"/>
      <c r="K27" s="131"/>
    </row>
    <row r="28" spans="1:14">
      <c r="A28" s="129"/>
      <c r="B28" s="130"/>
      <c r="C28" s="130"/>
      <c r="D28" s="130"/>
      <c r="E28" s="130"/>
      <c r="F28" s="130"/>
      <c r="G28" s="130"/>
      <c r="H28" s="130"/>
      <c r="I28" s="130"/>
      <c r="J28" s="130"/>
      <c r="K28" s="131"/>
    </row>
    <row r="29" spans="1:14">
      <c r="A29" s="129"/>
      <c r="B29" s="130"/>
      <c r="C29" s="130"/>
      <c r="D29" s="130"/>
      <c r="E29" s="130"/>
      <c r="F29" s="130"/>
      <c r="G29" s="130"/>
      <c r="H29" s="130"/>
      <c r="I29" s="130"/>
      <c r="J29" s="130"/>
      <c r="K29" s="131"/>
    </row>
    <row r="30" spans="1:14">
      <c r="A30" s="129"/>
      <c r="B30" s="130"/>
      <c r="C30" s="130"/>
      <c r="D30" s="130"/>
      <c r="E30" s="130"/>
      <c r="F30" s="130"/>
      <c r="G30" s="130"/>
      <c r="H30" s="130"/>
      <c r="I30" s="130"/>
      <c r="J30" s="130"/>
      <c r="K30" s="131"/>
    </row>
    <row r="31" spans="1:14" ht="15.75" thickBot="1">
      <c r="A31" s="132"/>
      <c r="B31" s="133"/>
      <c r="C31" s="133"/>
      <c r="D31" s="133"/>
      <c r="E31" s="133"/>
      <c r="F31" s="133"/>
      <c r="G31" s="133"/>
      <c r="H31" s="133"/>
      <c r="I31" s="133"/>
      <c r="J31" s="133"/>
      <c r="K31" s="134"/>
    </row>
    <row r="32" spans="1:14" ht="15.75" thickBot="1">
      <c r="A32" s="11"/>
      <c r="B32" s="10"/>
      <c r="C32" s="10"/>
      <c r="D32" s="10"/>
      <c r="E32" s="10"/>
      <c r="F32" s="10"/>
      <c r="G32" s="10"/>
      <c r="H32" s="10"/>
      <c r="I32" s="10"/>
      <c r="J32" s="10"/>
      <c r="K32" s="10"/>
    </row>
    <row r="33" spans="1:17" ht="16.5" customHeight="1" thickBot="1">
      <c r="A33" s="174" t="s">
        <v>46</v>
      </c>
      <c r="B33" s="175"/>
      <c r="C33" s="175"/>
      <c r="D33" s="175"/>
      <c r="E33" s="175"/>
      <c r="F33" s="175"/>
      <c r="G33" s="175"/>
      <c r="H33" s="175"/>
      <c r="I33" s="175"/>
      <c r="J33" s="175"/>
      <c r="K33" s="175"/>
      <c r="L33" s="175"/>
      <c r="M33" s="175"/>
      <c r="N33" s="175"/>
      <c r="O33" s="175"/>
      <c r="P33" s="176"/>
    </row>
    <row r="34" spans="1:17" ht="30.75" thickBot="1">
      <c r="A34" s="109"/>
      <c r="B34" s="168"/>
      <c r="C34" s="9" t="s">
        <v>47</v>
      </c>
      <c r="D34" s="9" t="s">
        <v>48</v>
      </c>
      <c r="E34" s="42" t="s">
        <v>49</v>
      </c>
      <c r="F34" s="41" t="s">
        <v>50</v>
      </c>
      <c r="G34" s="38" t="s">
        <v>51</v>
      </c>
      <c r="H34" s="18" t="s">
        <v>49</v>
      </c>
      <c r="I34" s="43" t="s">
        <v>52</v>
      </c>
      <c r="J34" s="18" t="s">
        <v>51</v>
      </c>
      <c r="K34" s="30" t="s">
        <v>49</v>
      </c>
      <c r="L34" s="30" t="s">
        <v>53</v>
      </c>
      <c r="M34" s="47" t="s">
        <v>51</v>
      </c>
      <c r="N34" s="18" t="s">
        <v>10</v>
      </c>
      <c r="O34" s="18" t="s">
        <v>54</v>
      </c>
      <c r="P34" s="49" t="s">
        <v>55</v>
      </c>
      <c r="Q34" s="15" t="s">
        <v>56</v>
      </c>
    </row>
    <row r="35" spans="1:17" ht="45.75" customHeight="1" thickBot="1">
      <c r="A35" s="171" t="s">
        <v>57</v>
      </c>
      <c r="B35" s="172"/>
      <c r="C35" s="14">
        <v>25</v>
      </c>
      <c r="D35" s="14" t="s">
        <v>58</v>
      </c>
      <c r="E35" s="35" t="s">
        <v>49</v>
      </c>
      <c r="F35" s="36">
        <f>F21/B14</f>
        <v>4.9289199999999997</v>
      </c>
      <c r="G35" s="39" t="s">
        <v>59</v>
      </c>
      <c r="H35" s="35" t="s">
        <v>49</v>
      </c>
      <c r="I35" s="44">
        <f>B16/F13</f>
        <v>0.45359290943563974</v>
      </c>
      <c r="J35" s="35" t="s">
        <v>60</v>
      </c>
      <c r="K35" s="173"/>
      <c r="L35" s="173"/>
      <c r="M35" s="173"/>
      <c r="N35" s="35" t="s">
        <v>10</v>
      </c>
      <c r="O35" s="36">
        <f>C35*F35*I35</f>
        <v>55.893079079387832</v>
      </c>
      <c r="P35" s="50" t="s">
        <v>61</v>
      </c>
      <c r="Q35" s="14" t="s">
        <v>62</v>
      </c>
    </row>
    <row r="36" spans="1:17" ht="33.950000000000003" customHeight="1" thickBot="1">
      <c r="A36" s="159" t="s">
        <v>63</v>
      </c>
      <c r="B36" s="160"/>
      <c r="C36" s="14">
        <v>2.5</v>
      </c>
      <c r="D36" s="14" t="s">
        <v>64</v>
      </c>
      <c r="E36" s="35" t="s">
        <v>49</v>
      </c>
      <c r="F36" s="37">
        <f>B20/F20</f>
        <v>3.7854117840021266</v>
      </c>
      <c r="G36" s="40" t="s">
        <v>121</v>
      </c>
      <c r="H36" s="35" t="s">
        <v>49</v>
      </c>
      <c r="I36" s="45">
        <f>B15/F15</f>
        <v>3.5273961949580414E-2</v>
      </c>
      <c r="J36" s="46" t="s">
        <v>122</v>
      </c>
      <c r="K36" s="161"/>
      <c r="L36" s="112"/>
      <c r="M36" s="162"/>
      <c r="N36" s="35" t="s">
        <v>10</v>
      </c>
      <c r="O36" s="37">
        <f>C36*F36*I36</f>
        <v>0.33381617808096081</v>
      </c>
      <c r="P36" s="51" t="s">
        <v>123</v>
      </c>
      <c r="Q36" s="12"/>
    </row>
    <row r="37" spans="1:17" ht="48.6" customHeight="1" thickBot="1">
      <c r="A37" s="163" t="s">
        <v>65</v>
      </c>
      <c r="B37" s="164"/>
      <c r="C37" s="14">
        <v>5</v>
      </c>
      <c r="D37" s="14" t="s">
        <v>66</v>
      </c>
      <c r="E37" s="35" t="s">
        <v>49</v>
      </c>
      <c r="F37" s="37">
        <f>F22/B22</f>
        <v>3.28084</v>
      </c>
      <c r="G37" s="40" t="s">
        <v>124</v>
      </c>
      <c r="H37" s="35" t="s">
        <v>49</v>
      </c>
      <c r="I37" s="45">
        <f>F22/B22</f>
        <v>3.28084</v>
      </c>
      <c r="J37" s="46" t="s">
        <v>124</v>
      </c>
      <c r="K37" s="35" t="s">
        <v>49</v>
      </c>
      <c r="L37" s="59">
        <f>F21/B21</f>
        <v>4.9289199999999997</v>
      </c>
      <c r="M37" s="48" t="s">
        <v>125</v>
      </c>
      <c r="N37" s="35" t="s">
        <v>10</v>
      </c>
      <c r="O37" s="37">
        <f>C37*F37*I37*L37</f>
        <v>265.27228363306972</v>
      </c>
      <c r="P37" s="51" t="s">
        <v>126</v>
      </c>
      <c r="Q37" s="13"/>
    </row>
    <row r="38" spans="1:17" ht="19.5" thickBot="1">
      <c r="A38" s="165" t="s">
        <v>67</v>
      </c>
      <c r="B38" s="166"/>
      <c r="C38" s="166"/>
      <c r="D38" s="166"/>
      <c r="E38" s="166"/>
      <c r="F38" s="166"/>
      <c r="G38" s="166"/>
      <c r="H38" s="166"/>
      <c r="I38" s="166"/>
      <c r="J38" s="166"/>
      <c r="K38" s="166"/>
      <c r="L38" s="166"/>
      <c r="M38" s="166"/>
      <c r="N38" s="166"/>
      <c r="O38" s="166"/>
      <c r="P38" s="167"/>
    </row>
    <row r="39" spans="1:17" ht="30.75" thickBot="1">
      <c r="A39" s="109"/>
      <c r="B39" s="168"/>
      <c r="C39" s="18" t="s">
        <v>47</v>
      </c>
      <c r="D39" s="18" t="s">
        <v>48</v>
      </c>
      <c r="E39" s="21" t="s">
        <v>49</v>
      </c>
      <c r="F39" s="8" t="s">
        <v>50</v>
      </c>
      <c r="G39" s="18" t="s">
        <v>51</v>
      </c>
      <c r="H39" s="8" t="s">
        <v>49</v>
      </c>
      <c r="I39" s="33" t="s">
        <v>52</v>
      </c>
      <c r="J39" s="18" t="s">
        <v>51</v>
      </c>
      <c r="K39" s="8" t="s">
        <v>49</v>
      </c>
      <c r="L39" s="30" t="s">
        <v>53</v>
      </c>
      <c r="M39" s="17" t="s">
        <v>51</v>
      </c>
      <c r="N39" s="25" t="s">
        <v>10</v>
      </c>
      <c r="O39" s="18" t="s">
        <v>54</v>
      </c>
      <c r="P39" s="28" t="s">
        <v>55</v>
      </c>
    </row>
    <row r="40" spans="1:17" ht="48.95" customHeight="1" thickBot="1">
      <c r="A40" s="159" t="s">
        <v>68</v>
      </c>
      <c r="B40" s="160"/>
      <c r="C40" s="19" t="str">
        <f>Conversions!C40</f>
        <v>Enter Name in L20</v>
      </c>
      <c r="D40" s="19" t="s">
        <v>58</v>
      </c>
      <c r="E40" s="22" t="s">
        <v>49</v>
      </c>
      <c r="F40" s="23">
        <f>F14/B14</f>
        <v>29.573499999999999</v>
      </c>
      <c r="G40" s="24" t="s">
        <v>59</v>
      </c>
      <c r="H40" s="31" t="s">
        <v>49</v>
      </c>
      <c r="I40" s="34">
        <f>B13/F13</f>
        <v>0.45359290943563974</v>
      </c>
      <c r="J40" s="24" t="s">
        <v>60</v>
      </c>
      <c r="K40" s="169"/>
      <c r="L40" s="169"/>
      <c r="M40" s="170"/>
      <c r="N40" s="26" t="s">
        <v>10</v>
      </c>
      <c r="O40" s="37" t="e">
        <f>C40*F40*I40</f>
        <v>#VALUE!</v>
      </c>
      <c r="P40" s="29" t="s">
        <v>61</v>
      </c>
    </row>
    <row r="41" spans="1:17" ht="48.95" customHeight="1" thickBot="1">
      <c r="A41" s="157" t="s">
        <v>69</v>
      </c>
      <c r="B41" s="158"/>
      <c r="C41" s="20" t="str">
        <f>Conversions!C41</f>
        <v>Enter Name in L20</v>
      </c>
      <c r="D41" s="20" t="s">
        <v>70</v>
      </c>
      <c r="E41" s="20" t="s">
        <v>49</v>
      </c>
      <c r="F41" s="60">
        <f>F22/B22</f>
        <v>3.28084</v>
      </c>
      <c r="G41" s="56" t="s">
        <v>124</v>
      </c>
      <c r="H41" s="32" t="s">
        <v>49</v>
      </c>
      <c r="I41" s="69">
        <f>F22/B22</f>
        <v>3.28084</v>
      </c>
      <c r="J41" s="56" t="s">
        <v>124</v>
      </c>
      <c r="K41" s="16" t="s">
        <v>49</v>
      </c>
      <c r="L41" s="70">
        <f>B16/F16</f>
        <v>1E-3</v>
      </c>
      <c r="M41" s="57" t="s">
        <v>127</v>
      </c>
      <c r="N41" s="27" t="s">
        <v>10</v>
      </c>
      <c r="O41" s="37" t="e">
        <f>C41*F41*I41*L41</f>
        <v>#VALUE!</v>
      </c>
      <c r="P41" s="58" t="s">
        <v>128</v>
      </c>
    </row>
  </sheetData>
  <mergeCells count="49">
    <mergeCell ref="A1:P11"/>
    <mergeCell ref="C12:D12"/>
    <mergeCell ref="G12:H12"/>
    <mergeCell ref="C13:D13"/>
    <mergeCell ref="G13:H13"/>
    <mergeCell ref="J13:N13"/>
    <mergeCell ref="C14:D14"/>
    <mergeCell ref="G14:H14"/>
    <mergeCell ref="J14:K14"/>
    <mergeCell ref="L14:N14"/>
    <mergeCell ref="C15:D15"/>
    <mergeCell ref="G15:H15"/>
    <mergeCell ref="J15:K15"/>
    <mergeCell ref="L15:N15"/>
    <mergeCell ref="C16:D16"/>
    <mergeCell ref="G16:H16"/>
    <mergeCell ref="J16:K16"/>
    <mergeCell ref="L16:N16"/>
    <mergeCell ref="C17:D17"/>
    <mergeCell ref="G17:H17"/>
    <mergeCell ref="J17:K17"/>
    <mergeCell ref="L17:N17"/>
    <mergeCell ref="C18:D18"/>
    <mergeCell ref="G18:H18"/>
    <mergeCell ref="J18:K18"/>
    <mergeCell ref="L18:N18"/>
    <mergeCell ref="C19:D19"/>
    <mergeCell ref="G19:H19"/>
    <mergeCell ref="A35:B35"/>
    <mergeCell ref="K35:M35"/>
    <mergeCell ref="C20:D20"/>
    <mergeCell ref="G20:H20"/>
    <mergeCell ref="C21:D21"/>
    <mergeCell ref="G21:H21"/>
    <mergeCell ref="C22:D22"/>
    <mergeCell ref="G22:H22"/>
    <mergeCell ref="C23:D23"/>
    <mergeCell ref="G23:H23"/>
    <mergeCell ref="A24:K31"/>
    <mergeCell ref="A33:P33"/>
    <mergeCell ref="A34:B34"/>
    <mergeCell ref="A41:B41"/>
    <mergeCell ref="A36:B36"/>
    <mergeCell ref="K36:M36"/>
    <mergeCell ref="A37:B37"/>
    <mergeCell ref="A38:P38"/>
    <mergeCell ref="A39:B39"/>
    <mergeCell ref="A40:B40"/>
    <mergeCell ref="K40:M40"/>
  </mergeCells>
  <conditionalFormatting sqref="F40 I40">
    <cfRule type="expression" dxfId="0" priority="1">
      <formula>NOT(OR(ISBLANK(F40),_xlfn.ISFORMULA(F40)))</formula>
    </cfRule>
  </conditionalFormatting>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BBAA7-7892-4AED-B159-88642EDC59F0}">
  <dimension ref="B1:F5"/>
  <sheetViews>
    <sheetView workbookViewId="0">
      <selection sqref="A1:XFD1048576"/>
    </sheetView>
  </sheetViews>
  <sheetFormatPr defaultRowHeight="15"/>
  <cols>
    <col min="1" max="1" width="4" customWidth="1"/>
  </cols>
  <sheetData>
    <row r="1" spans="2:6" ht="15.75" thickBot="1"/>
    <row r="2" spans="2:6" ht="26.1" customHeight="1">
      <c r="B2" s="177" t="s">
        <v>129</v>
      </c>
      <c r="C2" s="178"/>
      <c r="D2" s="178"/>
      <c r="E2" s="178"/>
      <c r="F2" s="179"/>
    </row>
    <row r="3" spans="2:6">
      <c r="B3" s="180"/>
      <c r="C3" s="181"/>
      <c r="D3" s="181"/>
      <c r="E3" s="181"/>
      <c r="F3" s="182"/>
    </row>
    <row r="4" spans="2:6">
      <c r="B4" s="180"/>
      <c r="C4" s="181"/>
      <c r="D4" s="181"/>
      <c r="E4" s="181"/>
      <c r="F4" s="182"/>
    </row>
    <row r="5" spans="2:6" ht="15.75" thickBot="1">
      <c r="B5" s="183"/>
      <c r="C5" s="184"/>
      <c r="D5" s="184"/>
      <c r="E5" s="184"/>
      <c r="F5" s="185"/>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F3B6B4C-EC0E-4746-BC50-2C3213BAC25B}">
  <ds:schemaRefs>
    <ds:schemaRef ds:uri="http://schemas.microsoft.com/sharepoint/v3/contenttype/forms"/>
  </ds:schemaRefs>
</ds:datastoreItem>
</file>

<file path=customXml/itemProps2.xml><?xml version="1.0" encoding="utf-8"?>
<ds:datastoreItem xmlns:ds="http://schemas.openxmlformats.org/officeDocument/2006/customXml" ds:itemID="{E75299CF-40C1-4653-959B-0AE66E133E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D29BAF0-14B6-4E1B-BA72-51F7164DDA8E}">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Goals and Instructions</vt:lpstr>
      <vt:lpstr>Conversions</vt:lpstr>
      <vt:lpstr>Random</vt:lpstr>
      <vt:lpstr>Solutions</vt:lpstr>
      <vt:lpstr>Sheet1</vt:lpstr>
    </vt:vector>
  </TitlesOfParts>
  <Manager/>
  <Company>Grand Canyon Education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Katelyn Gutteridge</dc:creator>
  <cp:keywords/>
  <dc:description/>
  <cp:lastModifiedBy>Richard Ketchersid</cp:lastModifiedBy>
  <cp:revision/>
  <dcterms:created xsi:type="dcterms:W3CDTF">2023-08-23T19:58:12Z</dcterms:created>
  <dcterms:modified xsi:type="dcterms:W3CDTF">2026-06-19T19:02:15Z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