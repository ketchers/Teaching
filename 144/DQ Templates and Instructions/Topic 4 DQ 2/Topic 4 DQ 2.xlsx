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4 DQ 2/"/>
    </mc:Choice>
  </mc:AlternateContent>
  <xr:revisionPtr revIDLastSave="619" documentId="8_{C5F6D942-BE47-4B16-B7DF-0F8A5C8F158C}" xr6:coauthVersionLast="47" xr6:coauthVersionMax="47" xr10:uidLastSave="{48115DAD-E626-4849-BE22-EFDC14339F63}"/>
  <bookViews>
    <workbookView xWindow="3540" yWindow="345" windowWidth="21600" windowHeight="11295" activeTab="1" xr2:uid="{4FCF7FA6-22BB-4545-AB27-D5B8AACA448D}"/>
  </bookViews>
  <sheets>
    <sheet name="Goals and Instructions" sheetId="5" r:id="rId1"/>
    <sheet name="Loans" sheetId="1" r:id="rId2"/>
    <sheet name="Random" sheetId="4" state="hidden" r:id="rId3"/>
    <sheet name="Solutions" sheetId="2" state="hidden" r:id="rId4"/>
    <sheet name="Sheet2" sheetId="3"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4" i="2" l="1"/>
  <c r="I21" i="2"/>
  <c r="H21" i="2"/>
  <c r="H19" i="2"/>
  <c r="I19" i="2" s="1"/>
  <c r="J21" i="2" l="1"/>
  <c r="I24" i="2"/>
  <c r="J24" i="2" s="1"/>
  <c r="B9" i="4"/>
  <c r="B10" i="4"/>
  <c r="B6" i="4"/>
  <c r="B7" i="4"/>
  <c r="B8" i="4"/>
  <c r="C9" i="4" l="1"/>
  <c r="C6" i="4"/>
  <c r="D6" i="4" s="1"/>
  <c r="C10" i="4"/>
  <c r="C7" i="4"/>
  <c r="C8" i="4"/>
  <c r="D8" i="4" s="1"/>
  <c r="D7" i="4" l="1"/>
  <c r="D10" i="4"/>
  <c r="D9" i="4"/>
  <c r="E6" i="4"/>
  <c r="E10" i="4"/>
  <c r="E7" i="4"/>
  <c r="E8" i="4"/>
  <c r="E9" i="4"/>
  <c r="B11" i="4" l="1"/>
  <c r="B12" i="4" s="1"/>
  <c r="B13" i="4" l="1"/>
  <c r="D12" i="4"/>
  <c r="E12" i="4" s="1"/>
  <c r="C12" i="4"/>
  <c r="D13" i="4" l="1"/>
  <c r="B14" i="4"/>
  <c r="E13" i="4" l="1"/>
  <c r="C13" i="4"/>
  <c r="B15" i="4"/>
  <c r="D14" i="4"/>
  <c r="E14" i="4" l="1"/>
  <c r="C14" i="4"/>
  <c r="B16" i="4"/>
  <c r="D15" i="4"/>
  <c r="E15" i="4" l="1"/>
  <c r="C15" i="4"/>
  <c r="B17" i="4"/>
  <c r="D16" i="4"/>
  <c r="H20" i="4" l="1"/>
  <c r="E17" i="2" s="1"/>
  <c r="C16" i="4"/>
  <c r="E16" i="4"/>
  <c r="D17" i="4"/>
  <c r="B18" i="4"/>
  <c r="B19" i="4" l="1"/>
  <c r="D18" i="4"/>
  <c r="E17" i="4"/>
  <c r="C17" i="4"/>
  <c r="E18" i="4" l="1"/>
  <c r="C18" i="4"/>
  <c r="B20" i="4"/>
  <c r="D19" i="4"/>
  <c r="C19" i="4" l="1"/>
  <c r="E19" i="4"/>
  <c r="D20" i="4"/>
  <c r="B21" i="4"/>
  <c r="D21" i="4" l="1"/>
  <c r="B22" i="4"/>
  <c r="E20" i="4"/>
  <c r="C20" i="4"/>
  <c r="E21" i="4" l="1"/>
  <c r="C21" i="4"/>
  <c r="B23" i="4"/>
  <c r="D22" i="4"/>
  <c r="E22" i="4" l="1"/>
  <c r="C22" i="4"/>
  <c r="B24" i="4"/>
  <c r="D23" i="4"/>
  <c r="C23" i="4" l="1"/>
  <c r="E23" i="4"/>
  <c r="B25" i="4"/>
  <c r="D24" i="4"/>
  <c r="C24" i="4" l="1"/>
  <c r="E24" i="4"/>
  <c r="D25" i="4"/>
  <c r="B26" i="4"/>
  <c r="E25" i="4" l="1"/>
  <c r="C25" i="4"/>
  <c r="B27" i="4"/>
  <c r="D26" i="4"/>
  <c r="E26" i="4" l="1"/>
  <c r="C26" i="4"/>
  <c r="B28" i="4"/>
  <c r="D27" i="4"/>
  <c r="H19" i="4" l="1"/>
  <c r="B17" i="2" s="1"/>
  <c r="D28" i="4"/>
  <c r="B29" i="4"/>
  <c r="E27" i="4"/>
  <c r="C27" i="4"/>
  <c r="E28" i="4" l="1"/>
  <c r="C28" i="4"/>
  <c r="D29" i="4"/>
  <c r="B30" i="4"/>
  <c r="E29" i="4" l="1"/>
  <c r="C29" i="4"/>
  <c r="B31" i="4"/>
  <c r="D30" i="4"/>
  <c r="H21" i="4" s="1"/>
  <c r="C17" i="2" s="1"/>
  <c r="B18" i="1" l="1"/>
  <c r="B32" i="4"/>
  <c r="D31" i="4"/>
  <c r="E30" i="4"/>
  <c r="C30" i="4"/>
  <c r="I20" i="4" l="1"/>
  <c r="B33" i="4"/>
  <c r="D32" i="4"/>
  <c r="E31" i="4"/>
  <c r="C31" i="4"/>
  <c r="H22" i="4" l="1"/>
  <c r="D33" i="4"/>
  <c r="B34" i="4"/>
  <c r="E32" i="4"/>
  <c r="C32" i="4"/>
  <c r="C33" i="4" l="1"/>
  <c r="E33" i="4"/>
  <c r="D34" i="4"/>
  <c r="B35" i="4"/>
  <c r="C34" i="4" l="1"/>
  <c r="E34" i="4"/>
  <c r="D35" i="4"/>
  <c r="B36" i="4"/>
  <c r="E35" i="4" l="1"/>
  <c r="C35" i="4"/>
  <c r="D36" i="4"/>
  <c r="I21" i="4" s="1"/>
  <c r="B37" i="4"/>
  <c r="D37" i="4" l="1"/>
  <c r="B38" i="4"/>
  <c r="C36" i="4"/>
  <c r="E36" i="4"/>
  <c r="E37" i="4" l="1"/>
  <c r="C37" i="4"/>
  <c r="D38" i="4"/>
  <c r="B39" i="4"/>
  <c r="D39" i="4" l="1"/>
  <c r="B40" i="4"/>
  <c r="C38" i="4"/>
  <c r="E38" i="4"/>
  <c r="C39" i="4" l="1"/>
  <c r="E39" i="4"/>
  <c r="B41" i="4"/>
  <c r="D40" i="4"/>
  <c r="D41" i="4" l="1"/>
  <c r="B42" i="4"/>
  <c r="C40" i="4"/>
  <c r="J19" i="4" s="1"/>
  <c r="E40" i="4"/>
  <c r="I19" i="4" l="1"/>
  <c r="C41" i="4"/>
  <c r="E41" i="4"/>
  <c r="B43" i="4"/>
  <c r="D42" i="4"/>
  <c r="C42" i="4" l="1"/>
  <c r="E42" i="4"/>
  <c r="D43" i="4"/>
  <c r="B44" i="4"/>
  <c r="D44" i="4" l="1"/>
  <c r="B45" i="4"/>
  <c r="C43" i="4"/>
  <c r="E43" i="4"/>
  <c r="D45" i="4" l="1"/>
  <c r="B46" i="4"/>
  <c r="C44" i="4"/>
  <c r="E44" i="4"/>
  <c r="E45" i="4" l="1"/>
  <c r="C45" i="4"/>
  <c r="D46" i="4"/>
  <c r="B47" i="4"/>
  <c r="D47" i="4" l="1"/>
  <c r="B48" i="4"/>
  <c r="C46" i="4"/>
  <c r="E46" i="4"/>
  <c r="C47" i="4" l="1"/>
  <c r="E47" i="4"/>
  <c r="B49" i="4"/>
  <c r="D48" i="4"/>
  <c r="J21" i="4" s="1"/>
  <c r="E48" i="4" l="1"/>
  <c r="C48" i="4"/>
  <c r="D49" i="4"/>
  <c r="B50" i="4"/>
  <c r="C49" i="4" l="1"/>
  <c r="E49" i="4"/>
  <c r="B51" i="4"/>
  <c r="D50" i="4"/>
  <c r="D51" i="4" l="1"/>
  <c r="B52" i="4"/>
  <c r="C50" i="4"/>
  <c r="J20" i="4" s="1"/>
  <c r="E50" i="4"/>
  <c r="D52" i="4" l="1"/>
  <c r="B53" i="4"/>
  <c r="C51" i="4"/>
  <c r="E51" i="4"/>
  <c r="D53" i="4" l="1"/>
  <c r="B54" i="4"/>
  <c r="C52" i="4"/>
  <c r="E52" i="4"/>
  <c r="E53" i="4" l="1"/>
  <c r="C53" i="4"/>
  <c r="B55" i="4"/>
  <c r="D55" i="4" s="1"/>
  <c r="D54" i="4"/>
  <c r="C54" i="4" l="1"/>
  <c r="E54" i="4"/>
  <c r="C55" i="4"/>
  <c r="E55" i="4"/>
</calcChain>
</file>

<file path=xl/sharedStrings.xml><?xml version="1.0" encoding="utf-8"?>
<sst xmlns="http://schemas.openxmlformats.org/spreadsheetml/2006/main" count="120" uniqueCount="101">
  <si>
    <t>Excel Skills Learned</t>
  </si>
  <si>
    <r>
      <rPr>
        <b/>
        <sz val="11"/>
        <color theme="1"/>
        <rFont val="Calibri"/>
        <family val="2"/>
        <scheme val="minor"/>
      </rPr>
      <t>Instructions</t>
    </r>
    <r>
      <rPr>
        <sz val="11"/>
        <color theme="1"/>
        <rFont val="Calibri"/>
        <family val="2"/>
        <scheme val="minor"/>
      </rPr>
      <t xml:space="preserve">: Open the tab labeled "Loans" and complete the tasks indicated there. Start by entering your name where indicated. Pay attention to the legend and note that the sheet is self-checking. </t>
    </r>
  </si>
  <si>
    <t>Upon completing the sheet, you should have an understanding of:</t>
  </si>
  <si>
    <t>1. Entering more complicated loan payment formula.</t>
  </si>
  <si>
    <t>Math Skills Learned</t>
  </si>
  <si>
    <t>1. How to compute periodic payments on a loan.</t>
  </si>
  <si>
    <t>2. Computing total paid for a loan and interest paid.</t>
  </si>
  <si>
    <t>Enter you name here ⇒</t>
  </si>
  <si>
    <t>Use at least five letters.</t>
  </si>
  <si>
    <t>Legend</t>
  </si>
  <si>
    <t>If a cell is shaded</t>
  </si>
  <si>
    <t>You should</t>
  </si>
  <si>
    <t>Blue</t>
  </si>
  <si>
    <t>Enter a text response</t>
  </si>
  <si>
    <t>Green</t>
  </si>
  <si>
    <t>Enter a number</t>
  </si>
  <si>
    <t>Gold</t>
  </si>
  <si>
    <t>Enter an Excel formula</t>
  </si>
  <si>
    <t>There is no video for this one, it is just like Topic 3 DQ 1</t>
  </si>
  <si>
    <t>Any other color</t>
  </si>
  <si>
    <t>Make no changes</t>
  </si>
  <si>
    <t>Financial Calculator</t>
  </si>
  <si>
    <t>Here we will practice with some formulas that you will often need to use throughout this class. If you format these correctly, then the computed values should inherit the correct formatting.</t>
  </si>
  <si>
    <t>r = APR</t>
  </si>
  <si>
    <t>n</t>
  </si>
  <si>
    <t>t</t>
  </si>
  <si>
    <t>Formula</t>
  </si>
  <si>
    <t>Excel Equivalent</t>
  </si>
  <si>
    <t>Enter the Excel Formula with correct cell references.</t>
  </si>
  <si>
    <t>Periodic Payment (PMT)</t>
  </si>
  <si>
    <t>Total Paid (Tot = PMT*n*t)</t>
  </si>
  <si>
    <t>Format as currency with two decimal places.</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</si>
  <si>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</si>
  <si>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</si>
  <si>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</si>
  <si>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</si>
  <si>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</si>
  <si>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</si>
  <si>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</si>
  <si>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</si>
  <si>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</si>
  <si>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</si>
  <si>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</si>
  <si>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</si>
  <si>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</si>
  <si>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</si>
  <si>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</si>
  <si>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</si>
  <si>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</si>
  <si>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</si>
  <si>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</si>
  <si>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</si>
  <si>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</si>
  <si>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</si>
  <si>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</si>
  <si>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</si>
  <si>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</si>
  <si>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</si>
  <si>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</si>
  <si>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</si>
  <si>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</si>
  <si>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</si>
  <si>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</si>
  <si>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</si>
  <si>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</si>
  <si>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</si>
  <si>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</si>
  <si>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</si>
  <si>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</si>
  <si>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</si>
  <si>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</si>
  <si>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</si>
  <si>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</si>
  <si>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</si>
  <si>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</si>
  <si>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</si>
  <si>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</si>
  <si>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Practice a bit with order of operations "PEMDAS"</t>
  </si>
  <si>
    <t>Here we will practice with some formulas that you will often need to use throughout this class.</t>
  </si>
  <si>
    <t xml:space="preserve">P </t>
  </si>
  <si>
    <t>r</t>
  </si>
  <si>
    <t>Choose some reasonable values for P, r (a percentage, like 12% or 0.12), n, and t. See if the results make sense given the meaning of the formulas to the right.
 Remember to use cell references for the parameters/variables and start your formula with an "=".</t>
  </si>
  <si>
    <t>P*(1 + r/n)^(n*t)</t>
  </si>
  <si>
    <t>Future Value of the Account</t>
  </si>
  <si>
    <t>Interest Earned</t>
  </si>
  <si>
    <t>P*((1 + r/n)^(n*t)-1)/(r/n)</t>
  </si>
  <si>
    <t>Total Invested</t>
  </si>
  <si>
    <t>P*(r/n)/(1 - (1 + r/n)^(-n*t))</t>
  </si>
  <si>
    <t>Periodic Payment</t>
  </si>
  <si>
    <t>Total Payed</t>
  </si>
  <si>
    <t>Interest Payed</t>
  </si>
  <si>
    <t>Download and open the sheet.</t>
  </si>
  <si>
    <t>You must use the provided formula. We do not accept the use of the built-in =FV() or =PMT() on these financial calculations.</t>
  </si>
  <si>
    <t>A formula was used, but the value is incorrect.</t>
  </si>
  <si>
    <t>A formula should have been used, and the value is incorrect.</t>
  </si>
  <si>
    <t>A formula should have been used, but the value is correct.</t>
  </si>
  <si>
    <t>A formula was used, and the value is correct.</t>
  </si>
  <si>
    <t>PMT = P*(r/n)/(1 - (1 + r/n)^(-n*t))</t>
  </si>
  <si>
    <t>P = loan amount</t>
  </si>
  <si>
    <t>Interest Paid (Tot - P)</t>
  </si>
  <si>
    <t>Your Name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</si>
</sst>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2"/>
      <color theme="1"/>
      <name val="Calibri"/>
      <family val="2"/>
      <scheme val="minor"/>
    </font>
    <font>
      <b/>
      <sz val="11"/>
      <color rgb="FF00B050"/>
      <name val="Calibri"/>
      <family val="2"/>
      <scheme val="minor"/>
    </font>
    <font>
      <sz val="10"/>
      <color rgb="FF000000"/>
      <name val="Arial Unicode MS"/>
    </font>
    <font>
      <sz val="8"/>
      <name val="Calibri"/>
      <family val="2"/>
      <scheme val="minor"/>
    </font>
    <font>
      <b/>
      <sz val="12"/>
      <color theme="0" tint="-4.9989318521683403E-2"/>
      <name val="Blackadder ITC"/>
      <family val="5"/>
    </font>
    <font>
      <u/>
      <sz val="12"/>
      <color theme="10"/>
      <name val="Calibri"/>
      <family val="2"/>
      <scheme val="minor"/>
    </font>
    <font>
      <b/>
      <u/>
      <sz val="14"/>
      <color theme="10"/>
      <name val="Calibri"/>
      <family val="2"/>
      <scheme val="minor"/>
    </font>
    <font>
      <sz val="11"/>
      <color rgb="FFFF0000"/>
      <name val="Calibri"/>
      <family val="2"/>
      <scheme val="minor"/>
    </font>
    <font>
      <b/>
      <sz val="11"/>
      <color theme="2" tint="-0.249977111117893"/>
      <name val="Calibri"/>
      <family val="2"/>
      <scheme val="minor"/>
    </font>
  </fonts>
  <fills count="11">
    <fill>
      <patternFill patternType="none"/>
    </fill>
    <fill>
      <patternFill patternType="gray125"/>
    </fill>
    <fill>
      <patternFill patternType="solid">
        <fgColor theme="5"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rgb="FFFFFF00"/>
        <bgColor indexed="64"/>
      </patternFill>
    </fill>
    <fill>
      <patternFill patternType="solid">
        <fgColor theme="0"/>
        <bgColor indexed="64"/>
      </patternFill>
    </fill>
  </fills>
  <borders count="4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diagonal/>
    </border>
    <border>
      <left style="thin">
        <color indexed="64"/>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style="thin">
        <color indexed="64"/>
      </left>
      <right style="thin">
        <color indexed="64"/>
      </right>
      <top style="thin">
        <color indexed="64"/>
      </top>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s>
  <cellStyleXfs count="2">
    <xf numFmtId="0" fontId="0" fillId="0" borderId="0"/>
    <xf numFmtId="0" fontId="7" fillId="0" borderId="0" applyNumberFormat="0" applyFill="0" applyBorder="0" applyAlignment="0" applyProtection="0"/>
  </cellStyleXfs>
  <cellXfs count="167">
    <xf numFmtId="0" fontId="0" fillId="0" borderId="0" xfId="0"/>
    <xf numFmtId="0" fontId="2" fillId="4" borderId="11" xfId="0" applyFont="1" applyFill="1" applyBorder="1" applyAlignment="1" applyProtection="1">
      <alignment horizontal="center" vertical="center"/>
      <protection hidden="1"/>
    </xf>
    <xf numFmtId="0" fontId="2" fillId="4" borderId="12" xfId="0" applyFont="1" applyFill="1" applyBorder="1" applyAlignment="1" applyProtection="1">
      <alignment horizontal="center" vertical="center"/>
      <protection hidden="1"/>
    </xf>
    <xf numFmtId="0" fontId="2" fillId="5" borderId="11" xfId="0" applyFont="1" applyFill="1" applyBorder="1" applyAlignment="1" applyProtection="1">
      <alignment horizontal="center" vertical="center"/>
      <protection hidden="1"/>
    </xf>
    <xf numFmtId="0" fontId="2" fillId="0" borderId="12" xfId="0" applyFont="1" applyBorder="1" applyAlignment="1" applyProtection="1">
      <alignment horizontal="center" vertical="center"/>
      <protection hidden="1"/>
    </xf>
    <xf numFmtId="0" fontId="2" fillId="6" borderId="11" xfId="0" applyFont="1" applyFill="1" applyBorder="1" applyAlignment="1" applyProtection="1">
      <alignment horizontal="center" vertical="center"/>
      <protection hidden="1"/>
    </xf>
    <xf numFmtId="0" fontId="2" fillId="7" borderId="11" xfId="0" applyFont="1" applyFill="1" applyBorder="1" applyAlignment="1" applyProtection="1">
      <alignment horizontal="center" vertical="center"/>
      <protection hidden="1"/>
    </xf>
    <xf numFmtId="0" fontId="2" fillId="0" borderId="13"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4" fillId="0" borderId="0" xfId="0" applyFont="1" applyAlignment="1">
      <alignment vertical="center"/>
    </xf>
    <xf numFmtId="2" fontId="0" fillId="0" borderId="0" xfId="0" applyNumberFormat="1"/>
    <xf numFmtId="0" fontId="1" fillId="2" borderId="38"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8" fillId="0" borderId="0" xfId="1" applyFont="1" applyAlignment="1">
      <alignment vertical="center"/>
    </xf>
    <xf numFmtId="0" fontId="1" fillId="2" borderId="7" xfId="0" applyFont="1" applyFill="1" applyBorder="1" applyAlignment="1" applyProtection="1">
      <alignment horizontal="right" vertical="center"/>
      <protection hidden="1"/>
    </xf>
    <xf numFmtId="0" fontId="0" fillId="0" borderId="0" xfId="0" applyProtection="1">
      <protection hidden="1"/>
    </xf>
    <xf numFmtId="0" fontId="1" fillId="0" borderId="0" xfId="0" applyFont="1" applyAlignment="1" applyProtection="1">
      <alignment vertical="center"/>
      <protection hidden="1"/>
    </xf>
    <xf numFmtId="0" fontId="1" fillId="0" borderId="0" xfId="0" applyFont="1" applyProtection="1">
      <protection hidden="1"/>
    </xf>
    <xf numFmtId="0" fontId="0" fillId="7" borderId="19" xfId="0" applyFill="1" applyBorder="1" applyAlignment="1" applyProtection="1">
      <alignment horizontal="center"/>
      <protection hidden="1"/>
    </xf>
    <xf numFmtId="0" fontId="0" fillId="0" borderId="0" xfId="0" applyBorder="1" applyAlignment="1" applyProtection="1">
      <protection hidden="1"/>
    </xf>
    <xf numFmtId="0" fontId="0" fillId="9" borderId="22" xfId="0" applyFill="1" applyBorder="1" applyAlignment="1" applyProtection="1">
      <alignment horizontal="center"/>
      <protection hidden="1"/>
    </xf>
    <xf numFmtId="0" fontId="0" fillId="0" borderId="0" xfId="0" applyBorder="1" applyAlignment="1" applyProtection="1">
      <alignment vertical="center"/>
      <protection hidden="1"/>
    </xf>
    <xf numFmtId="0" fontId="3" fillId="9" borderId="22" xfId="0" applyFont="1" applyFill="1" applyBorder="1" applyAlignment="1" applyProtection="1">
      <alignment horizontal="center"/>
      <protection hidden="1"/>
    </xf>
    <xf numFmtId="0" fontId="3" fillId="7" borderId="23"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0" fillId="0" borderId="0" xfId="0" applyAlignment="1" applyProtection="1">
      <alignment vertical="center" wrapText="1"/>
      <protection hidden="1"/>
    </xf>
    <xf numFmtId="0" fontId="0" fillId="2" borderId="19" xfId="0" applyFill="1" applyBorder="1" applyAlignment="1" applyProtection="1">
      <alignment horizontal="center"/>
      <protection hidden="1"/>
    </xf>
    <xf numFmtId="0" fontId="0" fillId="2" borderId="20" xfId="0" applyFill="1" applyBorder="1" applyAlignment="1" applyProtection="1">
      <alignment horizontal="center"/>
      <protection hidden="1"/>
    </xf>
    <xf numFmtId="0" fontId="1" fillId="2" borderId="20" xfId="0" applyFont="1" applyFill="1" applyBorder="1" applyAlignment="1" applyProtection="1">
      <alignment horizontal="center" vertical="center"/>
      <protection hidden="1"/>
    </xf>
    <xf numFmtId="0" fontId="1" fillId="2" borderId="20" xfId="0" applyFont="1" applyFill="1" applyBorder="1" applyAlignment="1" applyProtection="1">
      <alignment horizontal="center" vertical="center" wrapText="1"/>
      <protection hidden="1"/>
    </xf>
    <xf numFmtId="0" fontId="1" fillId="2" borderId="21" xfId="0" applyFont="1" applyFill="1" applyBorder="1" applyAlignment="1" applyProtection="1">
      <alignment horizontal="center" vertical="center" wrapText="1"/>
      <protection hidden="1"/>
    </xf>
    <xf numFmtId="0" fontId="0" fillId="0" borderId="0" xfId="0" applyAlignment="1" applyProtection="1">
      <alignment horizontal="left"/>
      <protection hidden="1"/>
    </xf>
    <xf numFmtId="0" fontId="6" fillId="8" borderId="7" xfId="0" applyFont="1" applyFill="1" applyBorder="1" applyAlignment="1" applyProtection="1">
      <alignment horizontal="center" vertical="center"/>
      <protection locked="0"/>
    </xf>
    <xf numFmtId="0" fontId="0" fillId="10" borderId="0" xfId="0" applyFill="1"/>
    <xf numFmtId="0" fontId="1" fillId="10" borderId="7" xfId="0" applyFont="1" applyFill="1" applyBorder="1" applyAlignment="1">
      <alignment horizontal="right" vertical="center"/>
    </xf>
    <xf numFmtId="0" fontId="1" fillId="10" borderId="7" xfId="0" applyFont="1" applyFill="1" applyBorder="1"/>
    <xf numFmtId="0" fontId="1" fillId="10" borderId="0" xfId="0" applyFont="1" applyFill="1" applyAlignment="1">
      <alignment vertical="center"/>
    </xf>
    <xf numFmtId="0" fontId="1" fillId="10" borderId="0" xfId="0" applyFont="1" applyFill="1"/>
    <xf numFmtId="0" fontId="2" fillId="10" borderId="11" xfId="0" applyFont="1" applyFill="1" applyBorder="1" applyAlignment="1" applyProtection="1">
      <alignment horizontal="center" vertical="center"/>
      <protection hidden="1"/>
    </xf>
    <xf numFmtId="0" fontId="2" fillId="10" borderId="12" xfId="0" applyFont="1" applyFill="1" applyBorder="1" applyAlignment="1" applyProtection="1">
      <alignment horizontal="center" vertical="center"/>
      <protection hidden="1"/>
    </xf>
    <xf numFmtId="0" fontId="2" fillId="10" borderId="13" xfId="0" applyFont="1" applyFill="1" applyBorder="1" applyAlignment="1" applyProtection="1">
      <alignment horizontal="center" vertical="center"/>
      <protection hidden="1"/>
    </xf>
    <xf numFmtId="0" fontId="2" fillId="10" borderId="14" xfId="0" applyFont="1" applyFill="1" applyBorder="1" applyAlignment="1" applyProtection="1">
      <alignment horizontal="center" vertical="center"/>
      <protection hidden="1"/>
    </xf>
    <xf numFmtId="0" fontId="0" fillId="10" borderId="0" xfId="0" applyFill="1" applyAlignment="1">
      <alignment horizontal="center"/>
    </xf>
    <xf numFmtId="0" fontId="0" fillId="10" borderId="19" xfId="0" applyFill="1" applyBorder="1" applyAlignment="1">
      <alignment horizontal="center"/>
    </xf>
    <xf numFmtId="0" fontId="0" fillId="10" borderId="20" xfId="0" applyFill="1" applyBorder="1" applyAlignment="1">
      <alignment horizontal="center"/>
    </xf>
    <xf numFmtId="0" fontId="0" fillId="10" borderId="22" xfId="0" applyFill="1" applyBorder="1" applyAlignment="1">
      <alignment horizontal="center"/>
    </xf>
    <xf numFmtId="2" fontId="0" fillId="10" borderId="7" xfId="0" applyNumberFormat="1" applyFill="1" applyBorder="1" applyAlignment="1">
      <alignment horizontal="center"/>
    </xf>
    <xf numFmtId="0" fontId="0" fillId="10" borderId="7" xfId="0" applyFill="1" applyBorder="1" applyAlignment="1">
      <alignment horizontal="center"/>
    </xf>
    <xf numFmtId="0" fontId="1" fillId="10" borderId="7" xfId="0" applyFont="1" applyFill="1" applyBorder="1" applyAlignment="1">
      <alignment horizontal="center" vertical="center"/>
    </xf>
    <xf numFmtId="0" fontId="1" fillId="10" borderId="7" xfId="0" applyFont="1" applyFill="1" applyBorder="1" applyAlignment="1">
      <alignment horizontal="center" vertical="center" wrapText="1"/>
    </xf>
    <xf numFmtId="0" fontId="0" fillId="10" borderId="0" xfId="0" applyFill="1" applyAlignment="1">
      <alignment horizontal="center" vertical="center" wrapText="1"/>
    </xf>
    <xf numFmtId="0" fontId="0" fillId="10" borderId="7" xfId="0" applyFill="1" applyBorder="1" applyAlignment="1">
      <alignment horizontal="center" vertical="center"/>
    </xf>
    <xf numFmtId="0" fontId="0" fillId="10" borderId="7" xfId="0" applyFill="1" applyBorder="1" applyAlignment="1">
      <alignment horizontal="center" vertical="center" wrapText="1"/>
    </xf>
    <xf numFmtId="0" fontId="1" fillId="10" borderId="7" xfId="0" applyFont="1" applyFill="1" applyBorder="1" applyAlignment="1">
      <alignment vertical="center"/>
    </xf>
    <xf numFmtId="0" fontId="0" fillId="10" borderId="0" xfId="0" applyFill="1" applyAlignment="1">
      <alignment horizontal="left"/>
    </xf>
    <xf numFmtId="0" fontId="0" fillId="2" borderId="1" xfId="0" applyFill="1" applyBorder="1" applyAlignment="1">
      <alignment horizontal="left" vertical="center" wrapText="1" indent="1"/>
    </xf>
    <xf numFmtId="0" fontId="0" fillId="2" borderId="2" xfId="0" applyFill="1" applyBorder="1" applyAlignment="1">
      <alignment horizontal="left" vertical="center" wrapText="1" indent="1"/>
    </xf>
    <xf numFmtId="0" fontId="0" fillId="2" borderId="3" xfId="0" applyFill="1" applyBorder="1" applyAlignment="1">
      <alignment horizontal="left" vertical="center" wrapText="1" indent="1"/>
    </xf>
    <xf numFmtId="0" fontId="0" fillId="2" borderId="8" xfId="0" applyFill="1" applyBorder="1" applyAlignment="1">
      <alignment horizontal="left" vertical="center" wrapText="1" indent="1"/>
    </xf>
    <xf numFmtId="0" fontId="0" fillId="2" borderId="0" xfId="0" applyFill="1" applyAlignment="1">
      <alignment horizontal="left" vertical="center" wrapText="1" indent="1"/>
    </xf>
    <xf numFmtId="0" fontId="0" fillId="2" borderId="17" xfId="0" applyFill="1" applyBorder="1" applyAlignment="1">
      <alignment horizontal="left" vertical="center" wrapText="1" indent="1"/>
    </xf>
    <xf numFmtId="0" fontId="0" fillId="2" borderId="4" xfId="0" applyFill="1" applyBorder="1" applyAlignment="1">
      <alignment horizontal="left" vertical="center" wrapText="1" indent="1"/>
    </xf>
    <xf numFmtId="0" fontId="0" fillId="2" borderId="5" xfId="0" applyFill="1" applyBorder="1" applyAlignment="1">
      <alignment horizontal="left" vertical="center" wrapText="1" indent="1"/>
    </xf>
    <xf numFmtId="0" fontId="0" fillId="2" borderId="6" xfId="0" applyFill="1" applyBorder="1" applyAlignment="1">
      <alignment horizontal="left" vertical="center" wrapText="1" indent="1"/>
    </xf>
    <xf numFmtId="0" fontId="0" fillId="0" borderId="18" xfId="0" applyBorder="1" applyAlignment="1" applyProtection="1">
      <alignment horizontal="center"/>
      <protection hidden="1"/>
    </xf>
    <xf numFmtId="0" fontId="0" fillId="0" borderId="0" xfId="0" applyAlignment="1" applyProtection="1">
      <alignment horizontal="center"/>
      <protection hidden="1"/>
    </xf>
    <xf numFmtId="0" fontId="1" fillId="2" borderId="21" xfId="0" applyFont="1" applyFill="1" applyBorder="1" applyAlignment="1" applyProtection="1">
      <alignment horizontal="center" vertical="center" wrapText="1"/>
      <protection hidden="1"/>
    </xf>
    <xf numFmtId="0" fontId="1" fillId="2" borderId="34" xfId="0" applyFont="1" applyFill="1" applyBorder="1" applyAlignment="1" applyProtection="1">
      <alignment horizontal="center" vertical="center" wrapText="1"/>
      <protection hidden="1"/>
    </xf>
    <xf numFmtId="0" fontId="1" fillId="2" borderId="20" xfId="0" applyFont="1" applyFill="1" applyBorder="1" applyAlignment="1" applyProtection="1">
      <alignment horizontal="center" vertical="center"/>
      <protection hidden="1"/>
    </xf>
    <xf numFmtId="0" fontId="1" fillId="2" borderId="30" xfId="0" applyFont="1" applyFill="1" applyBorder="1" applyAlignment="1" applyProtection="1">
      <alignment horizontal="center" vertical="center"/>
      <protection hidden="1"/>
    </xf>
    <xf numFmtId="0" fontId="2" fillId="2" borderId="9" xfId="0" applyFont="1" applyFill="1" applyBorder="1" applyAlignment="1" applyProtection="1">
      <alignment horizontal="center" vertical="center"/>
      <protection hidden="1"/>
    </xf>
    <xf numFmtId="0" fontId="2" fillId="2" borderId="10" xfId="0" applyFont="1" applyFill="1" applyBorder="1" applyAlignment="1" applyProtection="1">
      <alignment horizontal="center" vertical="center"/>
      <protection hidden="1"/>
    </xf>
    <xf numFmtId="0" fontId="1" fillId="2" borderId="1" xfId="0" applyFont="1" applyFill="1" applyBorder="1" applyAlignment="1" applyProtection="1">
      <alignment horizontal="center" vertical="center"/>
      <protection hidden="1"/>
    </xf>
    <xf numFmtId="0" fontId="1" fillId="2" borderId="2" xfId="0" applyFont="1" applyFill="1" applyBorder="1" applyAlignment="1" applyProtection="1">
      <alignment horizontal="center" vertical="center"/>
      <protection hidden="1"/>
    </xf>
    <xf numFmtId="0" fontId="1" fillId="2" borderId="3" xfId="0" applyFont="1" applyFill="1" applyBorder="1" applyAlignment="1" applyProtection="1">
      <alignment horizontal="center" vertical="center"/>
      <protection hidden="1"/>
    </xf>
    <xf numFmtId="0" fontId="1" fillId="2" borderId="8" xfId="0" applyFont="1" applyFill="1" applyBorder="1" applyAlignment="1" applyProtection="1">
      <alignment horizontal="center" vertical="center"/>
      <protection hidden="1"/>
    </xf>
    <xf numFmtId="0" fontId="1" fillId="2" borderId="0" xfId="0" applyFont="1" applyFill="1" applyAlignment="1" applyProtection="1">
      <alignment horizontal="center" vertical="center"/>
      <protection hidden="1"/>
    </xf>
    <xf numFmtId="0" fontId="1" fillId="2" borderId="17" xfId="0" applyFont="1" applyFill="1" applyBorder="1" applyAlignment="1" applyProtection="1">
      <alignment horizontal="center" vertical="center"/>
      <protection hidden="1"/>
    </xf>
    <xf numFmtId="0" fontId="0" fillId="2" borderId="19" xfId="0" applyFill="1" applyBorder="1" applyAlignment="1" applyProtection="1">
      <alignment horizontal="left" vertical="center" wrapText="1" indent="1"/>
      <protection hidden="1"/>
    </xf>
    <xf numFmtId="0" fontId="0" fillId="2" borderId="20" xfId="0" applyFill="1" applyBorder="1" applyAlignment="1" applyProtection="1">
      <alignment horizontal="left" vertical="center" wrapText="1" indent="1"/>
      <protection hidden="1"/>
    </xf>
    <xf numFmtId="0" fontId="0" fillId="2" borderId="21" xfId="0" applyFill="1" applyBorder="1" applyAlignment="1" applyProtection="1">
      <alignment horizontal="left" vertical="center" wrapText="1" indent="1"/>
      <protection hidden="1"/>
    </xf>
    <xf numFmtId="0" fontId="0" fillId="2" borderId="23" xfId="0" applyFill="1" applyBorder="1" applyAlignment="1" applyProtection="1">
      <alignment horizontal="left" vertical="center" wrapText="1" indent="1"/>
      <protection hidden="1"/>
    </xf>
    <xf numFmtId="0" fontId="0" fillId="2" borderId="24" xfId="0" applyFill="1" applyBorder="1" applyAlignment="1" applyProtection="1">
      <alignment horizontal="left" vertical="center" wrapText="1" indent="1"/>
      <protection hidden="1"/>
    </xf>
    <xf numFmtId="0" fontId="0" fillId="2" borderId="25" xfId="0" applyFill="1" applyBorder="1" applyAlignment="1" applyProtection="1">
      <alignment horizontal="left" vertical="center" wrapText="1" indent="1"/>
      <protection hidden="1"/>
    </xf>
    <xf numFmtId="0" fontId="0" fillId="0" borderId="42" xfId="0" applyBorder="1" applyAlignment="1" applyProtection="1">
      <alignment horizontal="left" indent="1"/>
      <protection hidden="1"/>
    </xf>
    <xf numFmtId="0" fontId="0" fillId="0" borderId="43" xfId="0" applyBorder="1" applyAlignment="1" applyProtection="1">
      <alignment horizontal="left" indent="1"/>
      <protection hidden="1"/>
    </xf>
    <xf numFmtId="0" fontId="0" fillId="0" borderId="15" xfId="0" applyBorder="1" applyAlignment="1" applyProtection="1">
      <alignment horizontal="left" vertical="center" indent="1"/>
      <protection hidden="1"/>
    </xf>
    <xf numFmtId="0" fontId="0" fillId="0" borderId="44" xfId="0" applyBorder="1" applyAlignment="1" applyProtection="1">
      <alignment horizontal="left" vertical="center" indent="1"/>
      <protection hidden="1"/>
    </xf>
    <xf numFmtId="0" fontId="0" fillId="0" borderId="15" xfId="0" applyBorder="1" applyAlignment="1" applyProtection="1">
      <alignment horizontal="left" indent="1"/>
      <protection hidden="1"/>
    </xf>
    <xf numFmtId="0" fontId="0" fillId="0" borderId="44" xfId="0" applyBorder="1" applyAlignment="1" applyProtection="1">
      <alignment horizontal="left" indent="1"/>
      <protection hidden="1"/>
    </xf>
    <xf numFmtId="0" fontId="0" fillId="0" borderId="26" xfId="0" applyBorder="1" applyAlignment="1" applyProtection="1">
      <alignment horizontal="left" vertical="center" indent="1"/>
      <protection hidden="1"/>
    </xf>
    <xf numFmtId="0" fontId="0" fillId="0" borderId="45" xfId="0" applyBorder="1" applyAlignment="1" applyProtection="1">
      <alignment horizontal="left" vertical="center" indent="1"/>
      <protection hidden="1"/>
    </xf>
    <xf numFmtId="0" fontId="1" fillId="0" borderId="39" xfId="0" applyFont="1" applyBorder="1" applyAlignment="1" applyProtection="1">
      <alignment horizontal="center" vertical="center"/>
      <protection hidden="1"/>
    </xf>
    <xf numFmtId="0" fontId="1" fillId="0" borderId="40" xfId="0" applyFont="1" applyBorder="1" applyAlignment="1" applyProtection="1">
      <alignment horizontal="center" vertical="center"/>
      <protection hidden="1"/>
    </xf>
    <xf numFmtId="0" fontId="1" fillId="0" borderId="41" xfId="0" applyFont="1" applyBorder="1" applyAlignment="1" applyProtection="1">
      <alignment horizontal="center" vertical="center"/>
      <protection hidden="1"/>
    </xf>
    <xf numFmtId="0" fontId="10" fillId="0" borderId="0" xfId="0" applyFont="1" applyAlignment="1" applyProtection="1">
      <alignment horizontal="center"/>
      <protection hidden="1"/>
    </xf>
    <xf numFmtId="0" fontId="0" fillId="0" borderId="20" xfId="0" applyBorder="1" applyAlignment="1" applyProtection="1">
      <alignment horizontal="center"/>
      <protection hidden="1"/>
    </xf>
    <xf numFmtId="0" fontId="0" fillId="0" borderId="7" xfId="0" applyBorder="1" applyAlignment="1" applyProtection="1">
      <alignment horizontal="center"/>
      <protection hidden="1"/>
    </xf>
    <xf numFmtId="0" fontId="0" fillId="0" borderId="24" xfId="0" applyBorder="1" applyAlignment="1" applyProtection="1">
      <alignment horizontal="center"/>
      <protection hidden="1"/>
    </xf>
    <xf numFmtId="0" fontId="0" fillId="2" borderId="1" xfId="0" applyFill="1" applyBorder="1" applyAlignment="1" applyProtection="1">
      <alignment horizontal="left" vertical="center" wrapText="1" indent="1"/>
      <protection hidden="1"/>
    </xf>
    <xf numFmtId="0" fontId="0" fillId="2" borderId="2" xfId="0" applyFill="1" applyBorder="1" applyAlignment="1" applyProtection="1">
      <alignment horizontal="left" vertical="center" wrapText="1" indent="1"/>
      <protection hidden="1"/>
    </xf>
    <xf numFmtId="0" fontId="0" fillId="2" borderId="31" xfId="0" applyFill="1" applyBorder="1" applyAlignment="1" applyProtection="1">
      <alignment horizontal="left" vertical="center" wrapText="1" indent="1"/>
      <protection hidden="1"/>
    </xf>
    <xf numFmtId="0" fontId="0" fillId="2" borderId="8" xfId="0" applyFill="1" applyBorder="1" applyAlignment="1" applyProtection="1">
      <alignment horizontal="left" vertical="center" wrapText="1" indent="1"/>
      <protection hidden="1"/>
    </xf>
    <xf numFmtId="0" fontId="0" fillId="2" borderId="0" xfId="0" applyFill="1" applyAlignment="1" applyProtection="1">
      <alignment horizontal="left" vertical="center" wrapText="1" indent="1"/>
      <protection hidden="1"/>
    </xf>
    <xf numFmtId="0" fontId="0" fillId="2" borderId="28" xfId="0" applyFill="1" applyBorder="1" applyAlignment="1" applyProtection="1">
      <alignment horizontal="left" vertical="center" wrapText="1" indent="1"/>
      <protection hidden="1"/>
    </xf>
    <xf numFmtId="0" fontId="0" fillId="2" borderId="4" xfId="0" applyFill="1" applyBorder="1" applyAlignment="1" applyProtection="1">
      <alignment horizontal="left" vertical="center" wrapText="1" indent="1"/>
      <protection hidden="1"/>
    </xf>
    <xf numFmtId="0" fontId="0" fillId="2" borderId="5" xfId="0" applyFill="1" applyBorder="1" applyAlignment="1" applyProtection="1">
      <alignment horizontal="left" vertical="center" wrapText="1" indent="1"/>
      <protection hidden="1"/>
    </xf>
    <xf numFmtId="0" fontId="0" fillId="2" borderId="29" xfId="0" applyFill="1" applyBorder="1" applyAlignment="1" applyProtection="1">
      <alignment horizontal="left" vertical="center" wrapText="1" indent="1"/>
      <protection hidden="1"/>
    </xf>
    <xf numFmtId="0" fontId="1" fillId="0" borderId="8" xfId="0" applyFont="1" applyBorder="1" applyAlignment="1" applyProtection="1">
      <alignment horizontal="center"/>
      <protection hidden="1"/>
    </xf>
    <xf numFmtId="0" fontId="0" fillId="0" borderId="32" xfId="0" applyBorder="1" applyAlignment="1" applyProtection="1">
      <alignment horizontal="center" vertical="center"/>
      <protection hidden="1"/>
    </xf>
    <xf numFmtId="0" fontId="0" fillId="0" borderId="16" xfId="0" applyBorder="1" applyAlignment="1" applyProtection="1">
      <alignment horizontal="center" vertical="center"/>
      <protection hidden="1"/>
    </xf>
    <xf numFmtId="0" fontId="0" fillId="0" borderId="27" xfId="0" applyBorder="1" applyAlignment="1" applyProtection="1">
      <alignment horizontal="center" vertical="center"/>
      <protection hidden="1"/>
    </xf>
    <xf numFmtId="0" fontId="9" fillId="9" borderId="1" xfId="0" applyFont="1" applyFill="1" applyBorder="1" applyAlignment="1" applyProtection="1">
      <alignment horizontal="left" wrapText="1" indent="1"/>
      <protection hidden="1"/>
    </xf>
    <xf numFmtId="0" fontId="9" fillId="9" borderId="3" xfId="0" applyFont="1" applyFill="1" applyBorder="1" applyAlignment="1" applyProtection="1">
      <alignment horizontal="left" wrapText="1" indent="1"/>
      <protection hidden="1"/>
    </xf>
    <xf numFmtId="0" fontId="9" fillId="9" borderId="4" xfId="0" applyFont="1" applyFill="1" applyBorder="1" applyAlignment="1" applyProtection="1">
      <alignment horizontal="left" wrapText="1" indent="1"/>
      <protection hidden="1"/>
    </xf>
    <xf numFmtId="0" fontId="9" fillId="9" borderId="6" xfId="0" applyFont="1" applyFill="1" applyBorder="1" applyAlignment="1" applyProtection="1">
      <alignment horizontal="left" wrapText="1" indent="1"/>
      <protection hidden="1"/>
    </xf>
    <xf numFmtId="0" fontId="0" fillId="10" borderId="22" xfId="0" applyFill="1" applyBorder="1" applyAlignment="1">
      <alignment horizontal="left" vertical="center" wrapText="1"/>
    </xf>
    <xf numFmtId="0" fontId="0" fillId="10" borderId="7" xfId="0" applyFill="1" applyBorder="1" applyAlignment="1">
      <alignment horizontal="left" vertical="center" wrapText="1"/>
    </xf>
    <xf numFmtId="0" fontId="0" fillId="10" borderId="15" xfId="0" applyFill="1" applyBorder="1" applyAlignment="1">
      <alignment horizontal="left" vertical="center" wrapText="1"/>
    </xf>
    <xf numFmtId="0" fontId="0" fillId="10" borderId="23" xfId="0" applyFill="1" applyBorder="1" applyAlignment="1">
      <alignment horizontal="left" vertical="center" wrapText="1"/>
    </xf>
    <xf numFmtId="0" fontId="0" fillId="10" borderId="24" xfId="0" applyFill="1" applyBorder="1" applyAlignment="1">
      <alignment horizontal="left" vertical="center" wrapText="1"/>
    </xf>
    <xf numFmtId="0" fontId="0" fillId="10" borderId="26" xfId="0" applyFill="1" applyBorder="1" applyAlignment="1">
      <alignment horizontal="left" vertical="center" wrapText="1"/>
    </xf>
    <xf numFmtId="0" fontId="0" fillId="10" borderId="7" xfId="0" applyFill="1" applyBorder="1" applyAlignment="1">
      <alignment horizontal="center"/>
    </xf>
    <xf numFmtId="0" fontId="1" fillId="10" borderId="21" xfId="0" applyFont="1" applyFill="1" applyBorder="1" applyAlignment="1">
      <alignment horizontal="center" vertical="center" wrapText="1"/>
    </xf>
    <xf numFmtId="0" fontId="1" fillId="10" borderId="34" xfId="0" applyFont="1" applyFill="1" applyBorder="1" applyAlignment="1">
      <alignment horizontal="center" vertical="center" wrapText="1"/>
    </xf>
    <xf numFmtId="0" fontId="1" fillId="10" borderId="8" xfId="0" applyFont="1" applyFill="1" applyBorder="1" applyAlignment="1">
      <alignment horizontal="center"/>
    </xf>
    <xf numFmtId="0" fontId="0" fillId="10" borderId="7" xfId="0" applyFill="1" applyBorder="1" applyAlignment="1">
      <alignment horizontal="center" vertical="center"/>
    </xf>
    <xf numFmtId="0" fontId="0" fillId="10" borderId="30" xfId="0" applyFill="1" applyBorder="1" applyAlignment="1">
      <alignment horizontal="center" vertical="center" wrapText="1"/>
    </xf>
    <xf numFmtId="0" fontId="0" fillId="10" borderId="35" xfId="0" applyFill="1" applyBorder="1" applyAlignment="1">
      <alignment horizontal="center" vertical="center" wrapText="1"/>
    </xf>
    <xf numFmtId="0" fontId="2" fillId="10" borderId="9" xfId="0" applyFont="1" applyFill="1" applyBorder="1" applyAlignment="1" applyProtection="1">
      <alignment horizontal="center" vertical="center"/>
      <protection hidden="1"/>
    </xf>
    <xf numFmtId="0" fontId="2" fillId="10" borderId="10" xfId="0" applyFont="1" applyFill="1" applyBorder="1" applyAlignment="1" applyProtection="1">
      <alignment horizontal="center" vertical="center"/>
      <protection hidden="1"/>
    </xf>
    <xf numFmtId="0" fontId="1" fillId="10" borderId="1" xfId="0" applyFont="1" applyFill="1" applyBorder="1" applyAlignment="1">
      <alignment horizontal="center" vertical="center"/>
    </xf>
    <xf numFmtId="0" fontId="1" fillId="10" borderId="2" xfId="0" applyFont="1" applyFill="1" applyBorder="1" applyAlignment="1">
      <alignment horizontal="center" vertical="center"/>
    </xf>
    <xf numFmtId="0" fontId="1" fillId="10" borderId="3" xfId="0" applyFont="1" applyFill="1" applyBorder="1" applyAlignment="1">
      <alignment horizontal="center" vertical="center"/>
    </xf>
    <xf numFmtId="0" fontId="1" fillId="10" borderId="8" xfId="0" applyFont="1" applyFill="1" applyBorder="1" applyAlignment="1">
      <alignment horizontal="center" vertical="center"/>
    </xf>
    <xf numFmtId="0" fontId="1" fillId="10" borderId="0" xfId="0" applyFont="1" applyFill="1" applyAlignment="1">
      <alignment horizontal="center" vertical="center"/>
    </xf>
    <xf numFmtId="0" fontId="1" fillId="10" borderId="17" xfId="0" applyFont="1" applyFill="1" applyBorder="1" applyAlignment="1">
      <alignment horizontal="center" vertical="center"/>
    </xf>
    <xf numFmtId="0" fontId="0" fillId="10" borderId="19" xfId="0" applyFill="1" applyBorder="1" applyAlignment="1">
      <alignment horizontal="left" vertical="center" wrapText="1" indent="1"/>
    </xf>
    <xf numFmtId="0" fontId="0" fillId="10" borderId="20" xfId="0" applyFill="1" applyBorder="1" applyAlignment="1">
      <alignment horizontal="left" vertical="center" wrapText="1" indent="1"/>
    </xf>
    <xf numFmtId="0" fontId="0" fillId="10" borderId="21" xfId="0" applyFill="1" applyBorder="1" applyAlignment="1">
      <alignment horizontal="left" vertical="center" wrapText="1" indent="1"/>
    </xf>
    <xf numFmtId="0" fontId="0" fillId="10" borderId="23" xfId="0" applyFill="1" applyBorder="1" applyAlignment="1">
      <alignment horizontal="left" vertical="center" wrapText="1" indent="1"/>
    </xf>
    <xf numFmtId="0" fontId="0" fillId="10" borderId="24" xfId="0" applyFill="1" applyBorder="1" applyAlignment="1">
      <alignment horizontal="left" vertical="center" wrapText="1" indent="1"/>
    </xf>
    <xf numFmtId="0" fontId="0" fillId="10" borderId="25" xfId="0" applyFill="1" applyBorder="1" applyAlignment="1">
      <alignment horizontal="left" vertical="center" wrapText="1" indent="1"/>
    </xf>
    <xf numFmtId="0" fontId="1" fillId="10" borderId="20" xfId="0" applyFont="1" applyFill="1" applyBorder="1" applyAlignment="1">
      <alignment horizontal="center" vertical="center"/>
    </xf>
    <xf numFmtId="0" fontId="1" fillId="10" borderId="7" xfId="0" applyFont="1" applyFill="1" applyBorder="1" applyAlignment="1">
      <alignment horizontal="center" vertical="center"/>
    </xf>
    <xf numFmtId="0" fontId="0" fillId="10" borderId="16" xfId="0" applyFill="1" applyBorder="1" applyAlignment="1">
      <alignment horizontal="center" vertical="center"/>
    </xf>
    <xf numFmtId="0" fontId="0" fillId="10" borderId="24" xfId="0" applyFill="1" applyBorder="1" applyAlignment="1">
      <alignment horizontal="center"/>
    </xf>
    <xf numFmtId="0" fontId="0" fillId="10" borderId="7" xfId="0" applyFill="1" applyBorder="1" applyAlignment="1">
      <alignment horizontal="center" vertical="center" wrapText="1"/>
    </xf>
    <xf numFmtId="0" fontId="0" fillId="10" borderId="27" xfId="0" applyFill="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8" xfId="0" applyFont="1" applyBorder="1" applyAlignment="1">
      <alignment horizontal="center" vertical="center"/>
    </xf>
    <xf numFmtId="0" fontId="1" fillId="0" borderId="0" xfId="0" applyFont="1" applyAlignment="1">
      <alignment horizontal="center" vertical="center"/>
    </xf>
    <xf numFmtId="0" fontId="1" fillId="0" borderId="17"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0" fillId="3" borderId="33" xfId="0" applyNumberFormat="1" applyFill="1" applyBorder="1" applyAlignment="1" applyProtection="1">
      <alignment horizontal="center"/>
      <protection locked="0"/>
    </xf>
    <xf numFmtId="0" fontId="0" fillId="3" borderId="30" xfId="0" applyNumberFormat="1" applyFill="1" applyBorder="1" applyAlignment="1" applyProtection="1">
      <alignment horizontal="center"/>
      <protection locked="0"/>
    </xf>
    <xf numFmtId="0" fontId="0" fillId="7" borderId="30" xfId="0" applyNumberFormat="1" applyFill="1" applyBorder="1" applyAlignment="1" applyProtection="1">
      <alignment horizontal="center" vertical="center"/>
      <protection locked="0"/>
    </xf>
    <xf numFmtId="0" fontId="0" fillId="7" borderId="30" xfId="0" applyNumberFormat="1" applyFill="1" applyBorder="1" applyAlignment="1" applyProtection="1">
      <alignment horizontal="center" vertical="center" wrapText="1"/>
      <protection locked="0"/>
    </xf>
    <xf numFmtId="0" fontId="0" fillId="7" borderId="36" xfId="0" applyNumberFormat="1" applyFill="1" applyBorder="1" applyAlignment="1" applyProtection="1">
      <alignment horizontal="center" vertical="center" wrapText="1"/>
      <protection locked="0"/>
    </xf>
    <xf numFmtId="0" fontId="0" fillId="7" borderId="37" xfId="0" applyNumberFormat="1" applyFill="1" applyBorder="1" applyAlignment="1" applyProtection="1">
      <alignment horizontal="center" vertical="center"/>
      <protection locked="0"/>
    </xf>
    <xf numFmtId="0" fontId="0" fillId="7" borderId="37" xfId="0" applyNumberFormat="1" applyFill="1" applyBorder="1" applyAlignment="1" applyProtection="1">
      <alignment horizontal="center" vertical="center" wrapText="1"/>
      <protection locked="0"/>
    </xf>
    <xf numFmtId="0" fontId="0" fillId="7" borderId="25" xfId="0" applyNumberFormat="1" applyFill="1" applyBorder="1" applyAlignment="1" applyProtection="1">
      <alignment horizontal="center" vertical="center" wrapText="1"/>
      <protection locked="0"/>
    </xf>
  </cellXfs>
  <cellStyles count="2">
    <cellStyle name="Hyperlink" xfId="1" builtinId="8"/>
    <cellStyle name="Normal" xfId="0" builtinId="0"/>
  </cellStyles>
  <dxfs count="5">
    <dxf>
      <font>
        <color rgb="FF00B050"/>
      </font>
      <fill>
        <patternFill>
          <bgColor theme="6" tint="0.79998168889431442"/>
        </patternFill>
      </fill>
    </dxf>
    <dxf>
      <font>
        <color rgb="FF00B050"/>
      </font>
      <fill>
        <patternFill>
          <bgColor theme="6" tint="0.79998168889431442"/>
        </patternFill>
      </fill>
    </dxf>
    <dxf>
      <font>
        <b/>
        <i val="0"/>
        <color rgb="FF00B050"/>
      </font>
      <fill>
        <patternFill>
          <bgColor theme="7" tint="0.59996337778862885"/>
        </patternFill>
      </fill>
    </dxf>
    <dxf>
      <fill>
        <patternFill>
          <bgColor rgb="FFFFFF00"/>
        </patternFill>
      </fill>
    </dxf>
    <dxf>
      <font>
        <b/>
        <i val="0"/>
        <color rgb="FF00B05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90170</xdr:colOff>
      <xdr:row>17</xdr:row>
      <xdr:rowOff>104801</xdr:rowOff>
    </xdr:from>
    <xdr:to>
      <xdr:col>5</xdr:col>
      <xdr:colOff>1624516</xdr:colOff>
      <xdr:row>19</xdr:row>
      <xdr:rowOff>217227</xdr:rowOff>
    </xdr:to>
    <xdr:pic>
      <xdr:nvPicPr>
        <xdr:cNvPr id="3" name="Picture 2">
          <a:extLst>
            <a:ext uri="{FF2B5EF4-FFF2-40B4-BE49-F238E27FC236}">
              <a16:creationId xmlns:a16="http://schemas.microsoft.com/office/drawing/2014/main" id="{A0571731-BDCE-3414-50D3-A6A1B4AE750A}"/>
            </a:ext>
          </a:extLst>
        </xdr:cNvPr>
        <xdr:cNvPicPr>
          <a:picLocks noChangeAspect="1"/>
        </xdr:cNvPicPr>
      </xdr:nvPicPr>
      <xdr:blipFill>
        <a:blip xmlns:r="http://schemas.openxmlformats.org/officeDocument/2006/relationships" r:embed="rId1"/>
        <a:stretch>
          <a:fillRect/>
        </a:stretch>
      </xdr:blipFill>
      <xdr:spPr>
        <a:xfrm>
          <a:off x="4770120" y="3470301"/>
          <a:ext cx="1531806" cy="4781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5</xdr:col>
      <xdr:colOff>49530</xdr:colOff>
      <xdr:row>17</xdr:row>
      <xdr:rowOff>15240</xdr:rowOff>
    </xdr:from>
    <xdr:ext cx="845873" cy="33066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0BCDC0-62F1-445B-9AB7-67B79FB7DAC4}"/>
                </a:ext>
              </a:extLst>
            </xdr:cNvPr>
            <xdr:cNvSpPr txBox="1"/>
          </xdr:nvSpPr>
          <xdr:spPr>
            <a:xfrm>
              <a:off x="2952750" y="3329940"/>
              <a:ext cx="845873" cy="330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oMath>
                </m:oMathPara>
              </a14:m>
              <a:endParaRPr lang="en-US" sz="1100"/>
            </a:p>
          </xdr:txBody>
        </xdr:sp>
      </mc:Choice>
      <mc:Fallback xmlns="">
        <xdr:sp macro="" textlink="">
          <xdr:nvSpPr>
            <xdr:cNvPr id="2" name="TextBox 1">
              <a:extLst>
                <a:ext uri="{FF2B5EF4-FFF2-40B4-BE49-F238E27FC236}">
                  <a16:creationId xmlns:a16="http://schemas.microsoft.com/office/drawing/2014/main" id="{5F0BCDC0-62F1-445B-9AB7-67B79FB7DAC4}"/>
                </a:ext>
              </a:extLst>
            </xdr:cNvPr>
            <xdr:cNvSpPr txBox="1"/>
          </xdr:nvSpPr>
          <xdr:spPr>
            <a:xfrm>
              <a:off x="2952750" y="3329940"/>
              <a:ext cx="845873" cy="330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𝑃⋅(1+𝑟/𝑛)^(𝑛⋅𝑡)</a:t>
              </a:r>
              <a:endParaRPr lang="en-US" sz="1100"/>
            </a:p>
          </xdr:txBody>
        </xdr:sp>
      </mc:Fallback>
    </mc:AlternateContent>
    <xdr:clientData/>
  </xdr:oneCellAnchor>
  <xdr:oneCellAnchor>
    <xdr:from>
      <xdr:col>5</xdr:col>
      <xdr:colOff>34290</xdr:colOff>
      <xdr:row>18</xdr:row>
      <xdr:rowOff>175260</xdr:rowOff>
    </xdr:from>
    <xdr:ext cx="1091068" cy="55130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02721A-90F8-4EFE-AAD7-EDF583E4404C}"/>
                </a:ext>
              </a:extLst>
            </xdr:cNvPr>
            <xdr:cNvSpPr txBox="1"/>
          </xdr:nvSpPr>
          <xdr:spPr>
            <a:xfrm>
              <a:off x="2937510" y="3672840"/>
              <a:ext cx="1091068"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r>
                          <a:rPr lang="en-US" sz="1100" b="0" i="1">
                            <a:latin typeface="Cambria Math" panose="02040503050406030204" pitchFamily="18" charset="0"/>
                          </a:rPr>
                          <m:t>−1</m:t>
                        </m:r>
                      </m:num>
                      <m:den>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E902721A-90F8-4EFE-AAD7-EDF583E4404C}"/>
                </a:ext>
              </a:extLst>
            </xdr:cNvPr>
            <xdr:cNvSpPr txBox="1"/>
          </xdr:nvSpPr>
          <xdr:spPr>
            <a:xfrm>
              <a:off x="2937510" y="3672840"/>
              <a:ext cx="1091068"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𝑃⋅((1+𝑟/𝑛)^(𝑛⋅𝑡)−1)/(𝑟/𝑛)</a:t>
              </a:r>
              <a:endParaRPr lang="en-US" sz="1100"/>
            </a:p>
          </xdr:txBody>
        </xdr:sp>
      </mc:Fallback>
    </mc:AlternateContent>
    <xdr:clientData/>
  </xdr:oneCellAnchor>
  <xdr:oneCellAnchor>
    <xdr:from>
      <xdr:col>5</xdr:col>
      <xdr:colOff>26670</xdr:colOff>
      <xdr:row>22</xdr:row>
      <xdr:rowOff>7620</xdr:rowOff>
    </xdr:from>
    <xdr:ext cx="1165960" cy="551305"/>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E641A5-0BC3-4E32-BA17-876D33579E27}"/>
                </a:ext>
              </a:extLst>
            </xdr:cNvPr>
            <xdr:cNvSpPr txBox="1"/>
          </xdr:nvSpPr>
          <xdr:spPr>
            <a:xfrm>
              <a:off x="2929890" y="4236720"/>
              <a:ext cx="1165960"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num>
                      <m:den>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m:t>
                            </m:r>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den>
                    </m:f>
                  </m:oMath>
                </m:oMathPara>
              </a14:m>
              <a:endParaRPr lang="en-US" sz="1100"/>
            </a:p>
          </xdr:txBody>
        </xdr:sp>
      </mc:Choice>
      <mc:Fallback xmlns="">
        <xdr:sp macro="" textlink="">
          <xdr:nvSpPr>
            <xdr:cNvPr id="4" name="TextBox 3">
              <a:extLst>
                <a:ext uri="{FF2B5EF4-FFF2-40B4-BE49-F238E27FC236}">
                  <a16:creationId xmlns:a16="http://schemas.microsoft.com/office/drawing/2014/main" id="{47E641A5-0BC3-4E32-BA17-876D33579E27}"/>
                </a:ext>
              </a:extLst>
            </xdr:cNvPr>
            <xdr:cNvSpPr txBox="1"/>
          </xdr:nvSpPr>
          <xdr:spPr>
            <a:xfrm>
              <a:off x="2929890" y="4236720"/>
              <a:ext cx="1165960"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𝑃⋅(𝑟/𝑛)/(1−(1+𝑟/𝑛)^(−𝑛⋅𝑡) )</a:t>
              </a:r>
              <a:endParaRPr lang="en-US" sz="1100"/>
            </a:p>
          </xdr:txBody>
        </xdr:sp>
      </mc:Fallback>
    </mc:AlternateContent>
    <xdr:clientData/>
  </xdr:oneCellAnchor>
  <xdr:oneCellAnchor>
    <xdr:from>
      <xdr:col>0</xdr:col>
      <xdr:colOff>152399</xdr:colOff>
      <xdr:row>0</xdr:row>
      <xdr:rowOff>0</xdr:rowOff>
    </xdr:from>
    <xdr:ext cx="11896726" cy="4943475"/>
    <xdr:sp macro="" textlink="">
      <xdr:nvSpPr>
        <xdr:cNvPr id="6" name="TextBox 5">
          <a:extLst>
            <a:ext uri="{FF2B5EF4-FFF2-40B4-BE49-F238E27FC236}">
              <a16:creationId xmlns:a16="http://schemas.microsoft.com/office/drawing/2014/main" id="{16B56BDA-40F8-9410-8B88-4742A18B3347}"/>
            </a:ext>
          </a:extLst>
        </xdr:cNvPr>
        <xdr:cNvSpPr txBox="1"/>
      </xdr:nvSpPr>
      <xdr:spPr>
        <a:xfrm>
          <a:off x="152399" y="0"/>
          <a:ext cx="11896726" cy="49434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BA5CFC-E38F-4474-8F5F-97F599EAF5B1}">
  <dimension ref="B1:I10"/>
  <sheetViews>
    <sheetView workbookViewId="0">
      <selection activeCell="B2" sqref="B2"/>
    </sheetView>
  </sheetViews>
  <sheetFormatPr defaultRowHeight="15"/>
  <cols>
    <col min="2" max="2" width="64" bestFit="1" customWidth="1"/>
  </cols>
  <sheetData>
    <row r="1" spans="2:9" ht="15.75" thickBot="1"/>
    <row r="2" spans="2:9" ht="15.75" thickBot="1">
      <c r="B2" s="11" t="s">
        <v>0</v>
      </c>
      <c r="D2" s="56" t="s">
        <v>1</v>
      </c>
      <c r="E2" s="57"/>
      <c r="F2" s="57"/>
      <c r="G2" s="57"/>
      <c r="H2" s="57"/>
      <c r="I2" s="58"/>
    </row>
    <row r="3" spans="2:9">
      <c r="B3" t="s">
        <v>2</v>
      </c>
      <c r="D3" s="59"/>
      <c r="E3" s="60"/>
      <c r="F3" s="60"/>
      <c r="G3" s="60"/>
      <c r="H3" s="60"/>
      <c r="I3" s="61"/>
    </row>
    <row r="4" spans="2:9">
      <c r="B4" s="12" t="s">
        <v>3</v>
      </c>
      <c r="D4" s="59"/>
      <c r="E4" s="60"/>
      <c r="F4" s="60"/>
      <c r="G4" s="60"/>
      <c r="H4" s="60"/>
      <c r="I4" s="61"/>
    </row>
    <row r="5" spans="2:9">
      <c r="B5" s="12"/>
      <c r="D5" s="59"/>
      <c r="E5" s="60"/>
      <c r="F5" s="60"/>
      <c r="G5" s="60"/>
      <c r="H5" s="60"/>
      <c r="I5" s="61"/>
    </row>
    <row r="6" spans="2:9" ht="15.75" thickBot="1">
      <c r="D6" s="62"/>
      <c r="E6" s="63"/>
      <c r="F6" s="63"/>
      <c r="G6" s="63"/>
      <c r="H6" s="63"/>
      <c r="I6" s="64"/>
    </row>
    <row r="7" spans="2:9" ht="15.75" thickBot="1"/>
    <row r="8" spans="2:9" ht="19.5" thickBot="1">
      <c r="B8" s="11" t="s">
        <v>4</v>
      </c>
      <c r="D8" s="14"/>
      <c r="E8" s="14"/>
      <c r="F8" s="14"/>
      <c r="G8" s="14"/>
    </row>
    <row r="9" spans="2:9">
      <c r="B9" s="13" t="s">
        <v>5</v>
      </c>
    </row>
    <row r="10" spans="2:9">
      <c r="B10" s="12" t="s">
        <v>6</v>
      </c>
    </row>
  </sheetData>
  <mergeCells count="1">
    <mergeCell ref="D2:I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0B2E2-92BC-47AC-B93B-26715350F717}">
  <dimension ref="B2:K22"/>
  <sheetViews>
    <sheetView tabSelected="1" workbookViewId="0">
      <selection activeCell="C2" sqref="C2"/>
    </sheetView>
  </sheetViews>
  <sheetFormatPr defaultRowHeight="15"/>
  <cols>
    <col min="1" max="1" width="3.7109375" style="16" customWidth="1"/>
    <col min="2" max="2" width="21.28515625" style="25" bestFit="1" customWidth="1"/>
    <col min="3" max="3" width="22.28515625" style="25" bestFit="1" customWidth="1"/>
    <col min="4" max="5" width="10.42578125" style="25" customWidth="1"/>
    <col min="6" max="6" width="25.7109375" style="16" customWidth="1"/>
    <col min="7" max="7" width="30" style="16" customWidth="1"/>
    <col min="8" max="8" width="26.140625" style="17" customWidth="1"/>
    <col min="9" max="9" width="25.42578125" style="18" bestFit="1" customWidth="1"/>
    <col min="10" max="10" width="22.28515625" style="16" bestFit="1" customWidth="1"/>
    <col min="11" max="16384" width="9.140625" style="16"/>
  </cols>
  <sheetData>
    <row r="2" spans="2:10" ht="17.25">
      <c r="B2" s="15" t="s">
        <v>7</v>
      </c>
      <c r="C2" s="33" t="s">
        <v>100</v>
      </c>
      <c r="D2" s="65" t="s">
        <v>8</v>
      </c>
      <c r="E2" s="66"/>
      <c r="H2" s="16"/>
      <c r="I2" s="16"/>
    </row>
    <row r="3" spans="2:10">
      <c r="B3" s="17"/>
      <c r="C3" s="18"/>
      <c r="D3" s="16"/>
      <c r="E3" s="16"/>
      <c r="H3" s="16"/>
      <c r="I3" s="16"/>
    </row>
    <row r="4" spans="2:10" ht="15.75" thickBot="1">
      <c r="B4" s="17"/>
      <c r="C4" s="18"/>
      <c r="D4" s="16"/>
      <c r="E4" s="16"/>
      <c r="H4" s="16"/>
      <c r="I4" s="16"/>
    </row>
    <row r="5" spans="2:10" ht="16.5" thickTop="1">
      <c r="B5" s="71" t="s">
        <v>9</v>
      </c>
      <c r="C5" s="72"/>
      <c r="D5" s="16"/>
      <c r="E5" s="19">
        <v>15</v>
      </c>
      <c r="F5" s="85" t="s">
        <v>93</v>
      </c>
      <c r="G5" s="86"/>
      <c r="H5" s="20"/>
      <c r="I5" s="20"/>
    </row>
    <row r="6" spans="2:10" ht="15.6" customHeight="1">
      <c r="B6" s="1" t="s">
        <v>10</v>
      </c>
      <c r="C6" s="2" t="s">
        <v>11</v>
      </c>
      <c r="D6" s="16"/>
      <c r="E6" s="21">
        <v>15</v>
      </c>
      <c r="F6" s="87" t="s">
        <v>94</v>
      </c>
      <c r="G6" s="88"/>
      <c r="H6" s="22"/>
      <c r="I6" s="22"/>
    </row>
    <row r="7" spans="2:10" ht="16.149999999999999" customHeight="1">
      <c r="B7" s="3" t="s">
        <v>12</v>
      </c>
      <c r="C7" s="4" t="s">
        <v>13</v>
      </c>
      <c r="D7" s="16"/>
      <c r="E7" s="23">
        <v>16</v>
      </c>
      <c r="F7" s="89" t="s">
        <v>95</v>
      </c>
      <c r="G7" s="90"/>
      <c r="H7" s="20"/>
      <c r="I7" s="20"/>
    </row>
    <row r="8" spans="2:10" ht="16.5" thickBot="1">
      <c r="B8" s="5" t="s">
        <v>14</v>
      </c>
      <c r="C8" s="4" t="s">
        <v>15</v>
      </c>
      <c r="D8" s="16"/>
      <c r="E8" s="24">
        <v>16</v>
      </c>
      <c r="F8" s="91" t="s">
        <v>96</v>
      </c>
      <c r="G8" s="92"/>
      <c r="H8" s="22"/>
      <c r="I8" s="22"/>
    </row>
    <row r="9" spans="2:10" ht="15.75">
      <c r="B9" s="6" t="s">
        <v>16</v>
      </c>
      <c r="C9" s="4" t="s">
        <v>17</v>
      </c>
      <c r="D9" s="16"/>
      <c r="E9" s="16"/>
      <c r="F9" s="96" t="s">
        <v>18</v>
      </c>
      <c r="G9" s="96"/>
      <c r="H9" s="96"/>
      <c r="I9" s="16"/>
    </row>
    <row r="10" spans="2:10" ht="16.5" thickBot="1">
      <c r="B10" s="7" t="s">
        <v>19</v>
      </c>
      <c r="C10" s="8" t="s">
        <v>20</v>
      </c>
      <c r="D10" s="16"/>
      <c r="E10" s="16"/>
      <c r="H10" s="16"/>
      <c r="I10" s="16"/>
    </row>
    <row r="11" spans="2:10" ht="16.5" thickTop="1" thickBot="1"/>
    <row r="12" spans="2:10" ht="14.45" customHeight="1">
      <c r="B12" s="73" t="s">
        <v>21</v>
      </c>
      <c r="C12" s="74"/>
      <c r="D12" s="74"/>
      <c r="E12" s="74"/>
      <c r="F12" s="75"/>
    </row>
    <row r="13" spans="2:10" ht="15.75" thickBot="1">
      <c r="B13" s="76"/>
      <c r="C13" s="77"/>
      <c r="D13" s="77"/>
      <c r="E13" s="77"/>
      <c r="F13" s="78"/>
      <c r="J13" s="26"/>
    </row>
    <row r="14" spans="2:10" ht="16.899999999999999" customHeight="1">
      <c r="B14" s="79" t="s">
        <v>22</v>
      </c>
      <c r="C14" s="80"/>
      <c r="D14" s="80"/>
      <c r="E14" s="80"/>
      <c r="F14" s="81"/>
    </row>
    <row r="15" spans="2:10" ht="16.899999999999999" customHeight="1" thickBot="1">
      <c r="B15" s="82"/>
      <c r="C15" s="83"/>
      <c r="D15" s="83"/>
      <c r="E15" s="83"/>
      <c r="F15" s="84"/>
    </row>
    <row r="16" spans="2:10">
      <c r="B16" s="27" t="s">
        <v>98</v>
      </c>
      <c r="C16" s="28" t="s">
        <v>23</v>
      </c>
      <c r="D16" s="28" t="s">
        <v>24</v>
      </c>
      <c r="E16" s="28" t="s">
        <v>25</v>
      </c>
      <c r="F16" s="69" t="s">
        <v>26</v>
      </c>
      <c r="G16" s="69" t="s">
        <v>27</v>
      </c>
      <c r="H16" s="67" t="s">
        <v>28</v>
      </c>
      <c r="I16" s="109"/>
    </row>
    <row r="17" spans="2:11" ht="15.75" thickBot="1">
      <c r="B17" s="159"/>
      <c r="C17" s="160"/>
      <c r="D17" s="160"/>
      <c r="E17" s="160"/>
      <c r="F17" s="70"/>
      <c r="G17" s="70"/>
      <c r="H17" s="68"/>
      <c r="I17" s="109"/>
    </row>
    <row r="18" spans="2:11" ht="14.45" customHeight="1">
      <c r="B18" s="100" t="str">
        <f ca="1">IF(C2="Your Name Here!", "Enter your name in C2 and your very own problem will appear here:)","Compute the monthly payments to pay back a loan of $"&amp;Random!H19&amp;" in "&amp;Random!H20&amp;" years an APR of "&amp;Random!H21&amp;"% compounded monthly. Find the total amount payed on the loan and the interest payed.")</f>
        <v>Compute the monthly payments to pay back a loan of $2200 in 5 years an APR of 20.29% compounded monthly. Find the total amount payed on the loan and the interest payed.</v>
      </c>
      <c r="C18" s="101"/>
      <c r="D18" s="101"/>
      <c r="E18" s="102"/>
      <c r="F18" s="97"/>
      <c r="G18" s="110" t="s">
        <v>97</v>
      </c>
      <c r="H18" s="29" t="s">
        <v>29</v>
      </c>
      <c r="I18" s="30" t="s">
        <v>30</v>
      </c>
      <c r="J18" s="31" t="s">
        <v>99</v>
      </c>
      <c r="K18" s="26"/>
    </row>
    <row r="19" spans="2:11">
      <c r="B19" s="103"/>
      <c r="C19" s="104"/>
      <c r="D19" s="104"/>
      <c r="E19" s="105"/>
      <c r="F19" s="98"/>
      <c r="G19" s="111"/>
      <c r="H19" s="161"/>
      <c r="I19" s="162"/>
      <c r="J19" s="163"/>
      <c r="K19" s="26"/>
    </row>
    <row r="20" spans="2:11" ht="24" customHeight="1" thickBot="1">
      <c r="B20" s="106"/>
      <c r="C20" s="107"/>
      <c r="D20" s="107"/>
      <c r="E20" s="108"/>
      <c r="F20" s="99"/>
      <c r="G20" s="112"/>
      <c r="H20" s="164"/>
      <c r="I20" s="165"/>
      <c r="J20" s="166"/>
      <c r="K20" s="26"/>
    </row>
    <row r="21" spans="2:11" ht="15.75" thickBot="1">
      <c r="B21" s="32"/>
      <c r="F21" s="113" t="s">
        <v>92</v>
      </c>
      <c r="G21" s="114"/>
      <c r="H21" s="93" t="s">
        <v>31</v>
      </c>
      <c r="I21" s="94"/>
      <c r="J21" s="95"/>
      <c r="K21" s="26"/>
    </row>
    <row r="22" spans="2:11" ht="15.75" thickBot="1">
      <c r="F22" s="115"/>
      <c r="G22" s="116"/>
    </row>
  </sheetData>
  <sheetProtection algorithmName="SHA-512" hashValue="04EZ75vEYzLuSc635yspVl1Pqdtqngx1OL36DW2Rvm2Pv8R8UFoFl8551fCW7aF82cNDLiYmkbGSxpHOls1U0w==" saltValue="Rqqa4jYiaDvVwlJBzKlTNQ==" spinCount="100000" sheet="1" scenarios="1" formatCells="0" formatColumns="0" formatRows="0"/>
  <mergeCells count="21">
    <mergeCell ref="H21:J21"/>
    <mergeCell ref="F9:H9"/>
    <mergeCell ref="F18:F20"/>
    <mergeCell ref="J19:J20"/>
    <mergeCell ref="B18:E20"/>
    <mergeCell ref="I16:I17"/>
    <mergeCell ref="H19:H20"/>
    <mergeCell ref="I19:I20"/>
    <mergeCell ref="G18:G20"/>
    <mergeCell ref="F21:G22"/>
    <mergeCell ref="D2:E2"/>
    <mergeCell ref="H16:H17"/>
    <mergeCell ref="F16:F17"/>
    <mergeCell ref="G16:G17"/>
    <mergeCell ref="B5:C5"/>
    <mergeCell ref="B12:F13"/>
    <mergeCell ref="B14:F15"/>
    <mergeCell ref="F5:G5"/>
    <mergeCell ref="F6:G6"/>
    <mergeCell ref="F7:G7"/>
    <mergeCell ref="F8:G8"/>
  </mergeCells>
  <conditionalFormatting sqref="H19:J19 I20:J20">
    <cfRule type="expression" dxfId="3" priority="4" stopIfTrue="1">
      <formula>NOT(OR(_xlfn.ISFORMULA(H19),ISBLANK(H19)))</formula>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 id="{9DEF9615-F6B4-489E-B9ED-7F496E3768AC}">
            <xm:f>B17=Solutions!B17</xm:f>
            <x14:dxf>
              <font>
                <b/>
                <i val="0"/>
                <color rgb="FF00B050"/>
              </font>
            </x14:dxf>
          </x14:cfRule>
          <xm:sqref>B17:E17</xm:sqref>
        </x14:conditionalFormatting>
        <x14:conditionalFormatting xmlns:xm="http://schemas.microsoft.com/office/excel/2006/main">
          <x14:cfRule type="expression" priority="5" id="{CABF01FD-4735-4029-8110-F24E8271B6C8}">
            <xm:f>AND(NOT(ISBLANK(H19)),ABS(H19-Solutions!H24)&lt;0.01)</xm:f>
            <x14:dxf>
              <font>
                <b/>
                <i val="0"/>
                <color rgb="FF00B050"/>
              </font>
              <fill>
                <patternFill>
                  <bgColor theme="7" tint="0.59996337778862885"/>
                </patternFill>
              </fill>
            </x14:dxf>
          </x14:cfRule>
          <xm:sqref>H19:J19 I20:J20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7AA56-18AC-4DC7-BC45-323D5E38D83F}">
  <dimension ref="A1:W55"/>
  <sheetViews>
    <sheetView topLeftCell="A4" workbookViewId="0">
      <selection activeCell="B8" sqref="B8"/>
    </sheetView>
  </sheetViews>
  <sheetFormatPr defaultRowHeight="15"/>
  <cols>
    <col min="5" max="6" width="11" bestFit="1" customWidth="1"/>
    <col min="8" max="8" width="11.5703125" bestFit="1" customWidth="1"/>
    <col min="9" max="10" width="10" bestFit="1" customWidth="1"/>
  </cols>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CODE(MID(Loans!C$2,A6,1))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CODE(MID(Loans!C$2,A7,1))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CODE(MID(Loans!C$2,A8,1))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CODE(MID(Loans!C$2,A9,1))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CODE(MID(Loans!C$2,A10,1))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32</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33</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34</v>
      </c>
      <c r="B13" s="9">
        <f t="shared" ref="B13:B33" ca="1" si="3">MOD(B12*F$11+F$12,F$13)</f>
        <v>22544</v>
      </c>
      <c r="C13">
        <f t="shared" ref="C13:C33" ca="1" si="4">IF(D13&lt;0.5,0,1)</f>
        <v>1</v>
      </c>
      <c r="D13">
        <f t="shared" ref="D13:D33" ca="1" si="5">B13/F$13</f>
        <v>0.68798828125</v>
      </c>
      <c r="E13">
        <f t="shared" ref="E13:E33"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35</v>
      </c>
      <c r="B14" s="9">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36</v>
      </c>
      <c r="B15" s="9">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37</v>
      </c>
      <c r="B16" s="9">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38</v>
      </c>
      <c r="B17" s="9">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39</v>
      </c>
      <c r="B18" s="9">
        <f t="shared" ca="1" si="3"/>
        <v>4805</v>
      </c>
      <c r="C18">
        <f t="shared" ca="1" si="4"/>
        <v>0</v>
      </c>
      <c r="D18">
        <f t="shared" ca="1" si="5"/>
        <v>0.146636962890625</v>
      </c>
      <c r="E18">
        <f t="shared" ca="1" si="6"/>
        <v>0</v>
      </c>
    </row>
    <row r="19" spans="1:23">
      <c r="A19" t="s">
        <v>40</v>
      </c>
      <c r="B19" s="9">
        <f t="shared" ca="1" si="3"/>
        <v>13338</v>
      </c>
      <c r="C19">
        <f t="shared" ca="1" si="4"/>
        <v>0</v>
      </c>
      <c r="D19">
        <f t="shared" ca="1" si="5"/>
        <v>0.40704345703125</v>
      </c>
      <c r="E19">
        <f t="shared" ca="1" si="6"/>
        <v>1</v>
      </c>
      <c r="H19">
        <f ca="1">2000+SUM(C12:C26)*25</f>
        <v>2200</v>
      </c>
      <c r="I19">
        <f ca="1">100+SUM(C30:C40)*25</f>
        <v>175</v>
      </c>
      <c r="J19">
        <f ca="1">5000+SUM(C20:C40)*25</f>
        <v>5225</v>
      </c>
    </row>
    <row r="20" spans="1:23">
      <c r="A20" t="s">
        <v>41</v>
      </c>
      <c r="B20" s="9">
        <f t="shared" ca="1" si="3"/>
        <v>19275</v>
      </c>
      <c r="C20">
        <f t="shared" ca="1" si="4"/>
        <v>1</v>
      </c>
      <c r="D20">
        <f t="shared" ca="1" si="5"/>
        <v>0.588226318359375</v>
      </c>
      <c r="E20">
        <f t="shared" ca="1" si="6"/>
        <v>3</v>
      </c>
      <c r="H20">
        <f ca="1">2+SUM(C12:C15)</f>
        <v>5</v>
      </c>
      <c r="I20">
        <f ca="1">2+SUM(C20:C30)</f>
        <v>9</v>
      </c>
      <c r="J20">
        <f ca="1">2+SUM(C40:C50)</f>
        <v>8</v>
      </c>
    </row>
    <row r="21" spans="1:23">
      <c r="A21" t="s">
        <v>42</v>
      </c>
      <c r="B21" s="9">
        <f t="shared" ca="1" si="3"/>
        <v>6440</v>
      </c>
      <c r="C21">
        <f t="shared" ca="1" si="4"/>
        <v>0</v>
      </c>
      <c r="D21">
        <f t="shared" ca="1" si="5"/>
        <v>0.196533203125</v>
      </c>
      <c r="E21">
        <f t="shared" ca="1" si="6"/>
        <v>0</v>
      </c>
      <c r="H21" s="10">
        <f ca="1">15+ROUND(SUM(D21:D30),2)</f>
        <v>20.29</v>
      </c>
      <c r="I21">
        <f ca="1">ROUND(2+SUM(D31:D36),2)</f>
        <v>4.2300000000000004</v>
      </c>
      <c r="J21">
        <f ca="1">ROUND(2+SUM(D41:D48),2)</f>
        <v>6.13</v>
      </c>
    </row>
    <row r="22" spans="1:23">
      <c r="A22" t="s">
        <v>43</v>
      </c>
      <c r="B22" s="9">
        <f t="shared" ca="1" si="3"/>
        <v>5697</v>
      </c>
      <c r="C22">
        <f t="shared" ca="1" si="4"/>
        <v>0</v>
      </c>
      <c r="D22">
        <f t="shared" ca="1" si="5"/>
        <v>0.173858642578125</v>
      </c>
      <c r="E22">
        <f t="shared" ca="1" si="6"/>
        <v>0</v>
      </c>
      <c r="H22">
        <f ca="1">20+SUM(C29:C31)*5</f>
        <v>30</v>
      </c>
      <c r="M22" s="9"/>
    </row>
    <row r="23" spans="1:23">
      <c r="A23" t="s">
        <v>44</v>
      </c>
      <c r="B23" s="9">
        <f t="shared" ca="1" si="3"/>
        <v>30694</v>
      </c>
      <c r="C23">
        <f t="shared" ca="1" si="4"/>
        <v>1</v>
      </c>
      <c r="D23">
        <f t="shared" ca="1" si="5"/>
        <v>0.93670654296875</v>
      </c>
      <c r="E23">
        <f t="shared" ca="1" si="6"/>
        <v>4</v>
      </c>
      <c r="M23" s="9"/>
    </row>
    <row r="24" spans="1:23">
      <c r="A24" t="s">
        <v>45</v>
      </c>
      <c r="B24" s="9">
        <f t="shared" ca="1" si="3"/>
        <v>20775</v>
      </c>
      <c r="C24">
        <f t="shared" ca="1" si="4"/>
        <v>1</v>
      </c>
      <c r="D24">
        <f t="shared" ca="1" si="5"/>
        <v>0.634002685546875</v>
      </c>
      <c r="E24">
        <f t="shared" ca="1" si="6"/>
        <v>3</v>
      </c>
      <c r="M24" s="9"/>
    </row>
    <row r="25" spans="1:23">
      <c r="A25" t="s">
        <v>46</v>
      </c>
      <c r="B25" s="9">
        <f t="shared" ca="1" si="3"/>
        <v>8148</v>
      </c>
      <c r="C25">
        <f t="shared" ca="1" si="4"/>
        <v>0</v>
      </c>
      <c r="D25">
        <f t="shared" ca="1" si="5"/>
        <v>0.2486572265625</v>
      </c>
      <c r="E25">
        <f t="shared" ca="1" si="6"/>
        <v>0</v>
      </c>
      <c r="M25" s="9"/>
    </row>
    <row r="26" spans="1:23">
      <c r="A26" t="s">
        <v>47</v>
      </c>
      <c r="B26" s="9">
        <f t="shared" ca="1" si="3"/>
        <v>21885</v>
      </c>
      <c r="C26">
        <f t="shared" ca="1" si="4"/>
        <v>1</v>
      </c>
      <c r="D26">
        <f t="shared" ca="1" si="5"/>
        <v>0.667877197265625</v>
      </c>
      <c r="E26">
        <f t="shared" ca="1" si="6"/>
        <v>3</v>
      </c>
      <c r="M26" s="9"/>
    </row>
    <row r="27" spans="1:23">
      <c r="A27" t="s">
        <v>48</v>
      </c>
      <c r="B27" s="9">
        <f t="shared" ca="1" si="3"/>
        <v>11378</v>
      </c>
      <c r="C27">
        <f t="shared" ca="1" si="4"/>
        <v>0</v>
      </c>
      <c r="D27">
        <f t="shared" ca="1" si="5"/>
        <v>0.34722900390625</v>
      </c>
      <c r="E27">
        <f t="shared" ca="1" si="6"/>
        <v>1</v>
      </c>
      <c r="M27" s="9"/>
    </row>
    <row r="28" spans="1:23">
      <c r="A28" t="s">
        <v>49</v>
      </c>
      <c r="B28" s="9">
        <f t="shared" ca="1" si="3"/>
        <v>22723</v>
      </c>
      <c r="C28">
        <f t="shared" ca="1" si="4"/>
        <v>1</v>
      </c>
      <c r="D28">
        <f t="shared" ca="1" si="5"/>
        <v>0.693450927734375</v>
      </c>
      <c r="E28">
        <f t="shared" ca="1" si="6"/>
        <v>3</v>
      </c>
      <c r="M28" s="9"/>
    </row>
    <row r="29" spans="1:23">
      <c r="A29" t="s">
        <v>50</v>
      </c>
      <c r="B29" s="9">
        <f t="shared" ca="1" si="3"/>
        <v>25920</v>
      </c>
      <c r="C29">
        <f t="shared" ca="1" si="4"/>
        <v>1</v>
      </c>
      <c r="D29">
        <f t="shared" ca="1" si="5"/>
        <v>0.791015625</v>
      </c>
      <c r="E29">
        <f t="shared" ca="1" si="6"/>
        <v>4</v>
      </c>
      <c r="M29" s="9"/>
    </row>
    <row r="30" spans="1:23">
      <c r="A30" t="s">
        <v>51</v>
      </c>
      <c r="B30" s="9">
        <f t="shared" ca="1" si="3"/>
        <v>19577</v>
      </c>
      <c r="C30">
        <f t="shared" ca="1" si="4"/>
        <v>1</v>
      </c>
      <c r="D30">
        <f t="shared" ca="1" si="5"/>
        <v>0.597442626953125</v>
      </c>
      <c r="E30">
        <f t="shared" ca="1" si="6"/>
        <v>3</v>
      </c>
      <c r="M30" s="9"/>
    </row>
    <row r="31" spans="1:23">
      <c r="A31" t="s">
        <v>52</v>
      </c>
      <c r="B31" s="9">
        <f t="shared" ca="1" si="3"/>
        <v>7614</v>
      </c>
      <c r="C31">
        <f t="shared" ca="1" si="4"/>
        <v>0</v>
      </c>
      <c r="D31">
        <f t="shared" ca="1" si="5"/>
        <v>0.23236083984375</v>
      </c>
      <c r="E31">
        <f t="shared" ca="1" si="6"/>
        <v>0</v>
      </c>
      <c r="M31" s="9"/>
    </row>
    <row r="32" spans="1:23">
      <c r="A32" t="s">
        <v>53</v>
      </c>
      <c r="B32" s="9">
        <f t="shared" ca="1" si="3"/>
        <v>15903</v>
      </c>
      <c r="C32">
        <f t="shared" ca="1" si="4"/>
        <v>0</v>
      </c>
      <c r="D32">
        <f t="shared" ca="1" si="5"/>
        <v>0.485321044921875</v>
      </c>
      <c r="E32">
        <f t="shared" ca="1" si="6"/>
        <v>1</v>
      </c>
      <c r="M32" s="9"/>
    </row>
    <row r="33" spans="1:13">
      <c r="A33" t="s">
        <v>54</v>
      </c>
      <c r="B33" s="9">
        <f t="shared" ca="1" si="3"/>
        <v>5484</v>
      </c>
      <c r="C33">
        <f t="shared" ca="1" si="4"/>
        <v>0</v>
      </c>
      <c r="D33">
        <f t="shared" ca="1" si="5"/>
        <v>0.1673583984375</v>
      </c>
      <c r="E33">
        <f t="shared" ca="1" si="6"/>
        <v>0</v>
      </c>
      <c r="M33" s="9"/>
    </row>
    <row r="34" spans="1:13">
      <c r="A34" t="s">
        <v>55</v>
      </c>
      <c r="B34" s="9">
        <f t="shared" ref="B34:B55" ca="1" si="7">MOD(B33*F$11+F$12,F$13)</f>
        <v>14133</v>
      </c>
      <c r="C34">
        <f t="shared" ref="C34:C55" ca="1" si="8">IF(D34&lt;0.5,0,1)</f>
        <v>0</v>
      </c>
      <c r="D34">
        <f t="shared" ref="D34:D55" ca="1" si="9">B34/F$13</f>
        <v>0.431304931640625</v>
      </c>
      <c r="E34">
        <f t="shared" ref="E34:E55" ca="1" si="10">IF(D34&lt;0.25,0,IF(D34&lt;0.5,1,IF(D34&lt;0.75,3,4)))</f>
        <v>1</v>
      </c>
      <c r="M34" s="9"/>
    </row>
    <row r="35" spans="1:13">
      <c r="A35" t="s">
        <v>56</v>
      </c>
      <c r="B35" s="9">
        <f t="shared" ca="1" si="7"/>
        <v>22474</v>
      </c>
      <c r="C35">
        <f t="shared" ca="1" si="8"/>
        <v>1</v>
      </c>
      <c r="D35">
        <f t="shared" ca="1" si="9"/>
        <v>0.68585205078125</v>
      </c>
      <c r="E35">
        <f t="shared" ca="1" si="10"/>
        <v>3</v>
      </c>
      <c r="M35" s="9"/>
    </row>
    <row r="36" spans="1:13">
      <c r="A36" t="s">
        <v>57</v>
      </c>
      <c r="B36" s="9">
        <f t="shared" ca="1" si="7"/>
        <v>7483</v>
      </c>
      <c r="C36">
        <f t="shared" ca="1" si="8"/>
        <v>0</v>
      </c>
      <c r="D36">
        <f t="shared" ca="1" si="9"/>
        <v>0.228363037109375</v>
      </c>
      <c r="E36">
        <f t="shared" ca="1" si="10"/>
        <v>0</v>
      </c>
      <c r="M36" s="9"/>
    </row>
    <row r="37" spans="1:13">
      <c r="A37" t="s">
        <v>58</v>
      </c>
      <c r="B37" s="9">
        <f t="shared" ca="1" si="7"/>
        <v>7256</v>
      </c>
      <c r="C37">
        <f t="shared" ca="1" si="8"/>
        <v>0</v>
      </c>
      <c r="D37">
        <f t="shared" ca="1" si="9"/>
        <v>0.221435546875</v>
      </c>
      <c r="E37">
        <f t="shared" ca="1" si="10"/>
        <v>0</v>
      </c>
      <c r="M37" s="9"/>
    </row>
    <row r="38" spans="1:13">
      <c r="A38" t="s">
        <v>59</v>
      </c>
      <c r="B38" s="9">
        <f t="shared" ca="1" si="7"/>
        <v>4529</v>
      </c>
      <c r="C38">
        <f t="shared" ca="1" si="8"/>
        <v>0</v>
      </c>
      <c r="D38">
        <f t="shared" ca="1" si="9"/>
        <v>0.138214111328125</v>
      </c>
      <c r="E38">
        <f t="shared" ca="1" si="10"/>
        <v>0</v>
      </c>
      <c r="M38" s="9"/>
    </row>
    <row r="39" spans="1:13">
      <c r="A39" t="s">
        <v>60</v>
      </c>
      <c r="B39" s="9">
        <f t="shared" ca="1" si="7"/>
        <v>9878</v>
      </c>
      <c r="C39">
        <f t="shared" ca="1" si="8"/>
        <v>0</v>
      </c>
      <c r="D39">
        <f t="shared" ca="1" si="9"/>
        <v>0.30145263671875</v>
      </c>
      <c r="E39">
        <f t="shared" ca="1" si="10"/>
        <v>1</v>
      </c>
      <c r="M39" s="9"/>
    </row>
    <row r="40" spans="1:13">
      <c r="A40" t="s">
        <v>61</v>
      </c>
      <c r="B40" s="9">
        <f t="shared" ca="1" si="7"/>
        <v>21015</v>
      </c>
      <c r="C40">
        <f t="shared" ca="1" si="8"/>
        <v>1</v>
      </c>
      <c r="D40">
        <f t="shared" ca="1" si="9"/>
        <v>0.641326904296875</v>
      </c>
      <c r="E40">
        <f t="shared" ca="1" si="10"/>
        <v>3</v>
      </c>
      <c r="M40" s="9"/>
    </row>
    <row r="41" spans="1:13">
      <c r="A41" t="s">
        <v>62</v>
      </c>
      <c r="B41" s="9">
        <f t="shared" ca="1" si="7"/>
        <v>9732</v>
      </c>
      <c r="C41">
        <f t="shared" ca="1" si="8"/>
        <v>0</v>
      </c>
      <c r="D41">
        <f t="shared" ca="1" si="9"/>
        <v>0.2969970703125</v>
      </c>
      <c r="E41">
        <f t="shared" ca="1" si="10"/>
        <v>1</v>
      </c>
      <c r="M41" s="9"/>
    </row>
    <row r="42" spans="1:13">
      <c r="A42" t="s">
        <v>63</v>
      </c>
      <c r="B42" s="9">
        <f t="shared" ca="1" si="7"/>
        <v>6125</v>
      </c>
      <c r="C42">
        <f t="shared" ca="1" si="8"/>
        <v>0</v>
      </c>
      <c r="D42">
        <f t="shared" ca="1" si="9"/>
        <v>0.186920166015625</v>
      </c>
      <c r="E42">
        <f t="shared" ca="1" si="10"/>
        <v>0</v>
      </c>
      <c r="M42" s="9"/>
    </row>
    <row r="43" spans="1:13">
      <c r="A43" t="s">
        <v>64</v>
      </c>
      <c r="B43" s="9">
        <f t="shared" ca="1" si="7"/>
        <v>5666</v>
      </c>
      <c r="C43">
        <f t="shared" ca="1" si="8"/>
        <v>0</v>
      </c>
      <c r="D43">
        <f t="shared" ca="1" si="9"/>
        <v>0.17291259765625</v>
      </c>
      <c r="E43">
        <f t="shared" ca="1" si="10"/>
        <v>0</v>
      </c>
      <c r="M43" s="9"/>
    </row>
    <row r="44" spans="1:13">
      <c r="A44" t="s">
        <v>65</v>
      </c>
      <c r="B44" s="9">
        <f t="shared" ca="1" si="7"/>
        <v>30899</v>
      </c>
      <c r="C44">
        <f t="shared" ca="1" si="8"/>
        <v>1</v>
      </c>
      <c r="D44">
        <f t="shared" ca="1" si="9"/>
        <v>0.942962646484375</v>
      </c>
      <c r="E44">
        <f t="shared" ca="1" si="10"/>
        <v>4</v>
      </c>
      <c r="M44" s="9"/>
    </row>
    <row r="45" spans="1:13">
      <c r="A45" t="s">
        <v>66</v>
      </c>
      <c r="B45" s="9">
        <f t="shared" ca="1" si="7"/>
        <v>7792</v>
      </c>
      <c r="C45">
        <f t="shared" ca="1" si="8"/>
        <v>0</v>
      </c>
      <c r="D45">
        <f t="shared" ca="1" si="9"/>
        <v>0.23779296875</v>
      </c>
      <c r="E45">
        <f t="shared" ca="1" si="10"/>
        <v>0</v>
      </c>
      <c r="M45" s="9"/>
    </row>
    <row r="46" spans="1:13">
      <c r="A46" t="s">
        <v>67</v>
      </c>
      <c r="B46" s="9">
        <f t="shared" ca="1" si="7"/>
        <v>17897</v>
      </c>
      <c r="C46">
        <f t="shared" ca="1" si="8"/>
        <v>1</v>
      </c>
      <c r="D46">
        <f t="shared" ca="1" si="9"/>
        <v>0.546173095703125</v>
      </c>
      <c r="E46">
        <f t="shared" ca="1" si="10"/>
        <v>3</v>
      </c>
    </row>
    <row r="47" spans="1:13">
      <c r="A47" t="s">
        <v>68</v>
      </c>
      <c r="B47" s="9">
        <f t="shared" ca="1" si="7"/>
        <v>29294</v>
      </c>
      <c r="C47">
        <f t="shared" ca="1" si="8"/>
        <v>1</v>
      </c>
      <c r="D47">
        <f t="shared" ca="1" si="9"/>
        <v>0.89398193359375</v>
      </c>
      <c r="E47">
        <f t="shared" ca="1" si="10"/>
        <v>4</v>
      </c>
    </row>
    <row r="48" spans="1:13">
      <c r="A48" t="s">
        <v>69</v>
      </c>
      <c r="B48" s="9">
        <f t="shared" ca="1" si="7"/>
        <v>27919</v>
      </c>
      <c r="C48">
        <f t="shared" ca="1" si="8"/>
        <v>1</v>
      </c>
      <c r="D48">
        <f t="shared" ca="1" si="9"/>
        <v>0.852020263671875</v>
      </c>
      <c r="E48">
        <f t="shared" ca="1" si="10"/>
        <v>4</v>
      </c>
    </row>
    <row r="49" spans="1:5">
      <c r="A49" t="s">
        <v>70</v>
      </c>
      <c r="B49" s="9">
        <f t="shared" ca="1" si="7"/>
        <v>12700</v>
      </c>
      <c r="C49">
        <f t="shared" ca="1" si="8"/>
        <v>0</v>
      </c>
      <c r="D49">
        <f t="shared" ca="1" si="9"/>
        <v>0.3875732421875</v>
      </c>
      <c r="E49">
        <f t="shared" ca="1" si="10"/>
        <v>1</v>
      </c>
    </row>
    <row r="50" spans="1:5">
      <c r="A50" t="s">
        <v>71</v>
      </c>
      <c r="B50" s="9">
        <f t="shared" ca="1" si="7"/>
        <v>22437</v>
      </c>
      <c r="C50">
        <f t="shared" ca="1" si="8"/>
        <v>1</v>
      </c>
      <c r="D50">
        <f t="shared" ca="1" si="9"/>
        <v>0.684722900390625</v>
      </c>
      <c r="E50">
        <f t="shared" ca="1" si="10"/>
        <v>3</v>
      </c>
    </row>
    <row r="51" spans="1:5">
      <c r="A51" t="s">
        <v>72</v>
      </c>
      <c r="B51" s="9">
        <f t="shared" ca="1" si="7"/>
        <v>18298</v>
      </c>
      <c r="C51">
        <f t="shared" ca="1" si="8"/>
        <v>1</v>
      </c>
      <c r="D51">
        <f t="shared" ca="1" si="9"/>
        <v>0.55841064453125</v>
      </c>
      <c r="E51">
        <f t="shared" ca="1" si="10"/>
        <v>3</v>
      </c>
    </row>
    <row r="52" spans="1:5">
      <c r="A52" t="s">
        <v>73</v>
      </c>
      <c r="B52" s="9">
        <f t="shared" ca="1" si="7"/>
        <v>19243</v>
      </c>
      <c r="C52">
        <f t="shared" ca="1" si="8"/>
        <v>1</v>
      </c>
      <c r="D52">
        <f t="shared" ca="1" si="9"/>
        <v>0.587249755859375</v>
      </c>
      <c r="E52">
        <f t="shared" ca="1" si="10"/>
        <v>3</v>
      </c>
    </row>
    <row r="53" spans="1:5">
      <c r="A53" t="s">
        <v>74</v>
      </c>
      <c r="B53" s="9">
        <f t="shared" ca="1" si="7"/>
        <v>19336</v>
      </c>
      <c r="C53">
        <f t="shared" ca="1" si="8"/>
        <v>1</v>
      </c>
      <c r="D53">
        <f t="shared" ca="1" si="9"/>
        <v>0.590087890625</v>
      </c>
      <c r="E53">
        <f t="shared" ca="1" si="10"/>
        <v>3</v>
      </c>
    </row>
    <row r="54" spans="1:5">
      <c r="A54" t="s">
        <v>75</v>
      </c>
      <c r="B54" s="9">
        <f t="shared" ca="1" si="7"/>
        <v>18721</v>
      </c>
      <c r="C54">
        <f t="shared" ca="1" si="8"/>
        <v>1</v>
      </c>
      <c r="D54">
        <f t="shared" ca="1" si="9"/>
        <v>0.571319580078125</v>
      </c>
      <c r="E54">
        <f t="shared" ca="1" si="10"/>
        <v>3</v>
      </c>
    </row>
    <row r="55" spans="1:5">
      <c r="A55" t="s">
        <v>76</v>
      </c>
      <c r="B55" s="9">
        <f t="shared" ca="1" si="7"/>
        <v>24902</v>
      </c>
      <c r="C55">
        <f t="shared" ca="1" si="8"/>
        <v>1</v>
      </c>
      <c r="D55">
        <f t="shared" ca="1" si="9"/>
        <v>0.75994873046875</v>
      </c>
      <c r="E55">
        <f t="shared" ca="1" si="10"/>
        <v>4</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23ACA-9738-4B60-95AB-B3B2AD139FFF}">
  <dimension ref="B2:J27"/>
  <sheetViews>
    <sheetView workbookViewId="0">
      <selection activeCell="L20" sqref="L20"/>
    </sheetView>
  </sheetViews>
  <sheetFormatPr defaultRowHeight="15"/>
  <cols>
    <col min="1" max="1" width="3.7109375" style="34" customWidth="1"/>
    <col min="2" max="2" width="21.28515625" style="43" bestFit="1" customWidth="1"/>
    <col min="3" max="3" width="22.28515625" style="43" bestFit="1" customWidth="1"/>
    <col min="4" max="5" width="10.42578125" style="43" customWidth="1"/>
    <col min="6" max="6" width="17.42578125" style="34" customWidth="1"/>
    <col min="7" max="7" width="23.28515625" style="34" bestFit="1" customWidth="1"/>
    <col min="8" max="8" width="26.140625" style="37" customWidth="1"/>
    <col min="9" max="9" width="22.28515625" style="38" bestFit="1" customWidth="1"/>
    <col min="10" max="10" width="22.28515625" style="34" bestFit="1" customWidth="1"/>
    <col min="11" max="16384" width="9.140625" style="34"/>
  </cols>
  <sheetData>
    <row r="2" spans="2:9">
      <c r="B2" s="35" t="s">
        <v>7</v>
      </c>
      <c r="C2" s="36"/>
      <c r="D2" s="34"/>
      <c r="E2" s="34"/>
      <c r="H2" s="34"/>
      <c r="I2" s="34"/>
    </row>
    <row r="3" spans="2:9">
      <c r="B3" s="37"/>
      <c r="C3" s="38"/>
      <c r="D3" s="34"/>
      <c r="E3" s="34"/>
      <c r="H3" s="34"/>
      <c r="I3" s="34"/>
    </row>
    <row r="4" spans="2:9" ht="15.75" thickBot="1">
      <c r="B4" s="37"/>
      <c r="C4" s="38"/>
      <c r="D4" s="34"/>
      <c r="E4" s="34"/>
      <c r="H4" s="34"/>
      <c r="I4" s="34"/>
    </row>
    <row r="5" spans="2:9" ht="16.5" thickTop="1">
      <c r="B5" s="130" t="s">
        <v>9</v>
      </c>
      <c r="C5" s="131"/>
      <c r="D5" s="34"/>
      <c r="E5" s="34"/>
      <c r="H5" s="34"/>
      <c r="I5" s="34"/>
    </row>
    <row r="6" spans="2:9" ht="15.75">
      <c r="B6" s="39" t="s">
        <v>10</v>
      </c>
      <c r="C6" s="40" t="s">
        <v>11</v>
      </c>
      <c r="D6" s="34"/>
      <c r="E6" s="34"/>
      <c r="H6" s="34"/>
      <c r="I6" s="34"/>
    </row>
    <row r="7" spans="2:9" ht="15.75">
      <c r="B7" s="39" t="s">
        <v>12</v>
      </c>
      <c r="C7" s="40" t="s">
        <v>13</v>
      </c>
      <c r="D7" s="34"/>
      <c r="E7" s="34"/>
      <c r="H7" s="34"/>
      <c r="I7" s="34"/>
    </row>
    <row r="8" spans="2:9" ht="15.75">
      <c r="B8" s="39" t="s">
        <v>14</v>
      </c>
      <c r="C8" s="40" t="s">
        <v>15</v>
      </c>
      <c r="D8" s="34"/>
      <c r="E8" s="34"/>
      <c r="H8" s="34"/>
      <c r="I8" s="34"/>
    </row>
    <row r="9" spans="2:9" ht="15.75">
      <c r="B9" s="39" t="s">
        <v>16</v>
      </c>
      <c r="C9" s="40" t="s">
        <v>17</v>
      </c>
      <c r="D9" s="34"/>
      <c r="E9" s="34"/>
      <c r="H9" s="34"/>
      <c r="I9" s="34"/>
    </row>
    <row r="10" spans="2:9" ht="16.5" thickBot="1">
      <c r="B10" s="41" t="s">
        <v>19</v>
      </c>
      <c r="C10" s="42" t="s">
        <v>20</v>
      </c>
      <c r="D10" s="34"/>
      <c r="E10" s="34"/>
      <c r="H10" s="34"/>
      <c r="I10" s="34"/>
    </row>
    <row r="11" spans="2:9" ht="16.5" thickTop="1" thickBot="1"/>
    <row r="12" spans="2:9">
      <c r="B12" s="132" t="s">
        <v>77</v>
      </c>
      <c r="C12" s="133"/>
      <c r="D12" s="133"/>
      <c r="E12" s="133"/>
      <c r="F12" s="134"/>
    </row>
    <row r="13" spans="2:9" ht="15.75" thickBot="1">
      <c r="B13" s="135"/>
      <c r="C13" s="136"/>
      <c r="D13" s="136"/>
      <c r="E13" s="136"/>
      <c r="F13" s="137"/>
    </row>
    <row r="14" spans="2:9" ht="16.899999999999999" customHeight="1">
      <c r="B14" s="138" t="s">
        <v>78</v>
      </c>
      <c r="C14" s="139"/>
      <c r="D14" s="139"/>
      <c r="E14" s="139"/>
      <c r="F14" s="140"/>
    </row>
    <row r="15" spans="2:9" ht="16.899999999999999" customHeight="1" thickBot="1">
      <c r="B15" s="141"/>
      <c r="C15" s="142"/>
      <c r="D15" s="142"/>
      <c r="E15" s="142"/>
      <c r="F15" s="143"/>
    </row>
    <row r="16" spans="2:9">
      <c r="B16" s="44" t="s">
        <v>79</v>
      </c>
      <c r="C16" s="45" t="s">
        <v>80</v>
      </c>
      <c r="D16" s="45" t="s">
        <v>24</v>
      </c>
      <c r="E16" s="45" t="s">
        <v>25</v>
      </c>
      <c r="F16" s="144" t="s">
        <v>26</v>
      </c>
      <c r="G16" s="144" t="s">
        <v>27</v>
      </c>
      <c r="H16" s="124" t="s">
        <v>28</v>
      </c>
      <c r="I16" s="126"/>
    </row>
    <row r="17" spans="2:10">
      <c r="B17" s="46">
        <f ca="1">Random!H19</f>
        <v>2200</v>
      </c>
      <c r="C17" s="47">
        <f ca="1">Random!H21%</f>
        <v>0.2029</v>
      </c>
      <c r="D17" s="48">
        <v>12</v>
      </c>
      <c r="E17" s="48">
        <f ca="1">Random!H20</f>
        <v>5</v>
      </c>
      <c r="F17" s="145"/>
      <c r="G17" s="145"/>
      <c r="H17" s="125"/>
      <c r="I17" s="126"/>
    </row>
    <row r="18" spans="2:10" ht="14.45" customHeight="1">
      <c r="B18" s="117" t="s">
        <v>81</v>
      </c>
      <c r="C18" s="118"/>
      <c r="D18" s="118"/>
      <c r="E18" s="119"/>
      <c r="F18" s="123"/>
      <c r="G18" s="146" t="s">
        <v>82</v>
      </c>
      <c r="H18" s="49" t="s">
        <v>83</v>
      </c>
      <c r="I18" s="50" t="s">
        <v>84</v>
      </c>
      <c r="J18" s="51"/>
    </row>
    <row r="19" spans="2:10">
      <c r="B19" s="117"/>
      <c r="C19" s="118"/>
      <c r="D19" s="118"/>
      <c r="E19" s="119"/>
      <c r="F19" s="123"/>
      <c r="G19" s="146"/>
      <c r="H19" s="52" t="e">
        <f>Loans!B17*(1+Loans!C17/Loans!D17)^(Loans!D17*Loans!E17)</f>
        <v>#DIV/0!</v>
      </c>
      <c r="I19" s="53" t="e">
        <f>H19-Loans!B17</f>
        <v>#DIV/0!</v>
      </c>
      <c r="J19" s="51"/>
    </row>
    <row r="20" spans="2:10" ht="14.45" customHeight="1">
      <c r="B20" s="117"/>
      <c r="C20" s="118"/>
      <c r="D20" s="118"/>
      <c r="E20" s="119"/>
      <c r="F20" s="123"/>
      <c r="G20" s="146" t="s">
        <v>85</v>
      </c>
      <c r="H20" s="54" t="s">
        <v>83</v>
      </c>
      <c r="I20" s="50" t="s">
        <v>86</v>
      </c>
      <c r="J20" s="50" t="s">
        <v>84</v>
      </c>
    </row>
    <row r="21" spans="2:10">
      <c r="B21" s="117"/>
      <c r="C21" s="118"/>
      <c r="D21" s="118"/>
      <c r="E21" s="119"/>
      <c r="F21" s="123"/>
      <c r="G21" s="146"/>
      <c r="H21" s="127" t="e">
        <f>Loans!B17*((1+Loans!C17/Loans!D17)^(Loans!D17*Loans!E17)-1)/(Loans!C17/Loans!D17)</f>
        <v>#DIV/0!</v>
      </c>
      <c r="I21" s="128">
        <f>Loans!B17*Loans!D17*Loans!E17</f>
        <v>0</v>
      </c>
      <c r="J21" s="128" t="e">
        <f>H21-I21</f>
        <v>#DIV/0!</v>
      </c>
    </row>
    <row r="22" spans="2:10">
      <c r="B22" s="117"/>
      <c r="C22" s="118"/>
      <c r="D22" s="118"/>
      <c r="E22" s="119"/>
      <c r="F22" s="123"/>
      <c r="G22" s="146"/>
      <c r="H22" s="127"/>
      <c r="I22" s="129"/>
      <c r="J22" s="129"/>
    </row>
    <row r="23" spans="2:10">
      <c r="B23" s="117"/>
      <c r="C23" s="118"/>
      <c r="D23" s="118"/>
      <c r="E23" s="119"/>
      <c r="F23" s="123"/>
      <c r="G23" s="146" t="s">
        <v>87</v>
      </c>
      <c r="H23" s="49" t="s">
        <v>88</v>
      </c>
      <c r="I23" s="50" t="s">
        <v>89</v>
      </c>
      <c r="J23" s="50" t="s">
        <v>90</v>
      </c>
    </row>
    <row r="24" spans="2:10">
      <c r="B24" s="117"/>
      <c r="C24" s="118"/>
      <c r="D24" s="118"/>
      <c r="E24" s="119"/>
      <c r="F24" s="123"/>
      <c r="G24" s="146"/>
      <c r="H24" s="127" t="e">
        <f>Loans!B17*(Loans!C17/Loans!D17)/(1-(1+Loans!C17/Loans!D17)^(-Loans!D17*Loans!E17))</f>
        <v>#DIV/0!</v>
      </c>
      <c r="I24" s="128">
        <f>Loans!D17*Loans!E17*Loans!H19</f>
        <v>0</v>
      </c>
      <c r="J24" s="148">
        <f>I24-Loans!B17</f>
        <v>0</v>
      </c>
    </row>
    <row r="25" spans="2:10" ht="17.45" customHeight="1" thickBot="1">
      <c r="B25" s="120"/>
      <c r="C25" s="121"/>
      <c r="D25" s="121"/>
      <c r="E25" s="122"/>
      <c r="F25" s="147"/>
      <c r="G25" s="149"/>
      <c r="H25" s="127"/>
      <c r="I25" s="129"/>
      <c r="J25" s="148"/>
    </row>
    <row r="26" spans="2:10">
      <c r="B26" s="55"/>
      <c r="I26" s="34"/>
    </row>
    <row r="27" spans="2:10">
      <c r="B27" s="38"/>
      <c r="C27" s="34"/>
      <c r="D27" s="34"/>
      <c r="E27" s="34"/>
      <c r="H27" s="34"/>
      <c r="I27" s="34"/>
    </row>
  </sheetData>
  <sheetProtection algorithmName="SHA-512" hashValue="K6FLfj/2GW8ZCTHv8p2xOh6RoXSFAt/EbNff2TRYiVEiR5k81I441LUk2VqjGrBYfbxIzcyIabf7eIRPuVbGfw==" saltValue="gn8DjQ/CYqWIJUrkECcB7A==" spinCount="100000" sheet="1" objects="1" scenarios="1"/>
  <mergeCells count="20">
    <mergeCell ref="J24:J25"/>
    <mergeCell ref="J21:J22"/>
    <mergeCell ref="G23:G25"/>
    <mergeCell ref="B5:C5"/>
    <mergeCell ref="B12:F13"/>
    <mergeCell ref="B14:F15"/>
    <mergeCell ref="F16:F17"/>
    <mergeCell ref="G16:G17"/>
    <mergeCell ref="B18:E25"/>
    <mergeCell ref="F18:F19"/>
    <mergeCell ref="H16:H17"/>
    <mergeCell ref="I16:I17"/>
    <mergeCell ref="H21:H22"/>
    <mergeCell ref="I21:I22"/>
    <mergeCell ref="H24:H25"/>
    <mergeCell ref="I24:I25"/>
    <mergeCell ref="G18:G19"/>
    <mergeCell ref="F20:F22"/>
    <mergeCell ref="G20:G22"/>
    <mergeCell ref="F23:F25"/>
  </mergeCells>
  <conditionalFormatting sqref="H18:H21">
    <cfRule type="expression" dxfId="1" priority="2">
      <formula>AND(ABS(H18-#REF!)&lt;0.001,NOT(ISBLANK(H18)))</formula>
    </cfRule>
  </conditionalFormatting>
  <conditionalFormatting sqref="H23:H24">
    <cfRule type="expression" dxfId="0" priority="1">
      <formula>AND(ABS(H23-#REF!)&lt;0.001,NOT(ISBLANK(H23)))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A2B2D-0544-4AF4-8F48-1115B33F73A4}">
  <dimension ref="B1:F5"/>
  <sheetViews>
    <sheetView workbookViewId="0">
      <selection activeCell="F10" sqref="F10"/>
    </sheetView>
  </sheetViews>
  <sheetFormatPr defaultRowHeight="15"/>
  <cols>
    <col min="1" max="1" width="4" customWidth="1"/>
  </cols>
  <sheetData>
    <row r="1" spans="2:6" ht="15.75" thickBot="1"/>
    <row r="2" spans="2:6">
      <c r="B2" s="150" t="s">
        <v>91</v>
      </c>
      <c r="C2" s="151"/>
      <c r="D2" s="151"/>
      <c r="E2" s="151"/>
      <c r="F2" s="152"/>
    </row>
    <row r="3" spans="2:6">
      <c r="B3" s="153"/>
      <c r="C3" s="154"/>
      <c r="D3" s="154"/>
      <c r="E3" s="154"/>
      <c r="F3" s="155"/>
    </row>
    <row r="4" spans="2:6">
      <c r="B4" s="153"/>
      <c r="C4" s="154"/>
      <c r="D4" s="154"/>
      <c r="E4" s="154"/>
      <c r="F4" s="155"/>
    </row>
    <row r="5" spans="2:6" ht="15.75" thickBot="1">
      <c r="B5" s="156"/>
      <c r="C5" s="157"/>
      <c r="D5" s="157"/>
      <c r="E5" s="157"/>
      <c r="F5" s="158"/>
    </row>
  </sheetData>
  <mergeCells count="1">
    <mergeCell ref="B2:F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C22AC1B-1134-480D-984D-E3FB18425132}">
  <ds:schemaRefs>
    <ds:schemaRef ds:uri="http://schemas.microsoft.com/sharepoint/v3/contenttype/forms"/>
  </ds:schemaRefs>
</ds:datastoreItem>
</file>

<file path=customXml/itemProps2.xml><?xml version="1.0" encoding="utf-8"?>
<ds:datastoreItem xmlns:ds="http://schemas.openxmlformats.org/officeDocument/2006/customXml" ds:itemID="{A8D40D51-EB3D-4F2E-911E-703AF067E6CE}"/>
</file>

<file path=customXml/itemProps3.xml><?xml version="1.0" encoding="utf-8"?>
<ds:datastoreItem xmlns:ds="http://schemas.openxmlformats.org/officeDocument/2006/customXml" ds:itemID="{DBB720F6-9EF9-47F8-8112-CBCB1A8E9176}">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Goals and Instructions</vt:lpstr>
      <vt:lpstr>Loans</vt:lpstr>
      <vt:lpstr>Random</vt:lpstr>
      <vt:lpstr>Solutions</vt:lpstr>
      <vt:lpstr>Sheet2</vt:lpstr>
    </vt:vector>
  </TitlesOfParts>
  <Manager/>
  <Company>Grand Canyon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2023-07-20T23:59:47Z</dcterms:created>
  <dcterms:modified xsi:type="dcterms:W3CDTF">2026-07-13T19:34:46Z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0x0101002C289946819CFF499E91D197BC975371</vt:lpwstr>
  </property>
</Properties>
</file>