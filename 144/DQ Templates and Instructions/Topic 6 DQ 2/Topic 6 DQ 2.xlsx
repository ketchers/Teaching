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6 DQ 2/"/>
    </mc:Choice>
  </mc:AlternateContent>
  <xr:revisionPtr revIDLastSave="25" documentId="8_{558D6C02-132F-4F4C-922D-FF511F69F3DC}" xr6:coauthVersionLast="47" xr6:coauthVersionMax="47" xr10:uidLastSave="{9E6015D9-17DA-47BF-A7BB-71A648A0C23D}"/>
  <bookViews>
    <workbookView xWindow="-108" yWindow="12852" windowWidth="23256" windowHeight="12456" tabRatio="500" xr2:uid="{00000000-000D-0000-FFFF-FFFF00000000}"/>
  </bookViews>
  <sheets>
    <sheet name="Goals and Instructions" sheetId="7" r:id="rId1"/>
    <sheet name="Users" sheetId="8" state="hidden" r:id="rId2"/>
    <sheet name="Games" sheetId="1" r:id="rId3"/>
    <sheet name="soln1" sheetId="2" state="hidden" r:id="rId4"/>
    <sheet name="Random" sheetId="6" state="hidden" r:id="rId5"/>
    <sheet name="Sheet3" sheetId="5" state="hidden" r:id="rId6"/>
    <sheet name="Sheet1" sheetId="3" state="hidden" r:id="rId7"/>
  </sheets>
  <calcPr calcId="191028" iterate="1"/>
  <customWorkbookViews>
    <customWorkbookView name="Richard Ketchersid - Personal View" guid="{13B6492D-170C-45E1-97D8-793CC53D410C}" mergeInterval="0" personalView="1" xWindow="64" yWindow="64" windowWidth="1606" windowHeight="950"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8" l="1"/>
  <c r="I15" i="1"/>
  <c r="I16" i="1"/>
  <c r="I17" i="1"/>
  <c r="I18" i="1"/>
  <c r="I14" i="1"/>
  <c r="B7" i="6"/>
  <c r="B8" i="6"/>
  <c r="B9" i="6"/>
  <c r="B10" i="6"/>
  <c r="C10" i="6" s="1"/>
  <c r="B6" i="6"/>
  <c r="C6" i="6" l="1"/>
  <c r="D10" i="6"/>
  <c r="C7" i="6"/>
  <c r="C8" i="6"/>
  <c r="C9" i="6"/>
  <c r="E10" i="6"/>
  <c r="D8" i="6" l="1"/>
  <c r="D9" i="6"/>
  <c r="D7" i="6"/>
  <c r="D6" i="6"/>
  <c r="E8" i="6"/>
  <c r="E6" i="6"/>
  <c r="E7" i="6"/>
  <c r="E9" i="6"/>
  <c r="B11" i="6" l="1"/>
  <c r="B12" i="6" s="1"/>
  <c r="B13" i="6" l="1"/>
  <c r="D12" i="6"/>
  <c r="E12" i="6" s="1"/>
  <c r="C12" i="6"/>
  <c r="B14" i="6" l="1"/>
  <c r="D13" i="6"/>
  <c r="E13" i="6" l="1"/>
  <c r="C13" i="6"/>
  <c r="D14" i="6"/>
  <c r="B15" i="6"/>
  <c r="B16" i="6" l="1"/>
  <c r="D15" i="6"/>
  <c r="E14" i="6"/>
  <c r="C14" i="6"/>
  <c r="C15" i="6" l="1"/>
  <c r="E15" i="6"/>
  <c r="B17" i="6"/>
  <c r="D16" i="6"/>
  <c r="E16" i="6" l="1"/>
  <c r="C16" i="6"/>
  <c r="B18" i="6"/>
  <c r="D17" i="6"/>
  <c r="C17" i="6" l="1"/>
  <c r="E17" i="6"/>
  <c r="D18" i="6"/>
  <c r="B19" i="6"/>
  <c r="I19" i="6" l="1"/>
  <c r="I20" i="6"/>
  <c r="I23" i="6"/>
  <c r="I21" i="6"/>
  <c r="I22" i="6"/>
  <c r="B20" i="6"/>
  <c r="D19" i="6"/>
  <c r="E18" i="6"/>
  <c r="C18" i="6"/>
  <c r="F15" i="2" a="1"/>
  <c r="F17" i="2" a="1"/>
  <c r="F17" i="2" l="1"/>
  <c r="F15" i="2"/>
  <c r="J21" i="6"/>
  <c r="J22" i="6"/>
  <c r="J23" i="6"/>
  <c r="J20" i="6"/>
  <c r="J19" i="6"/>
  <c r="E19" i="6"/>
  <c r="C19" i="6"/>
  <c r="B21" i="6"/>
  <c r="D20" i="6"/>
  <c r="B17" i="2" a="1"/>
  <c r="B15" i="2" a="1"/>
  <c r="B14" i="2" a="1"/>
  <c r="B18" i="2" a="1"/>
  <c r="B16" i="2" a="1"/>
  <c r="B15" i="2" l="1"/>
  <c r="B17" i="2"/>
  <c r="B18" i="2"/>
  <c r="B16" i="2"/>
  <c r="B14" i="2"/>
  <c r="E20" i="6"/>
  <c r="C20" i="6"/>
  <c r="D21" i="6"/>
  <c r="B22" i="6"/>
  <c r="B23" i="6" l="1"/>
  <c r="D22" i="6"/>
  <c r="C21" i="6"/>
  <c r="E21" i="6"/>
  <c r="H19" i="6" l="1"/>
  <c r="C3" i="5" s="1"/>
  <c r="E3" i="5" s="1"/>
  <c r="E22" i="6"/>
  <c r="C22" i="6"/>
  <c r="D23" i="6"/>
  <c r="B24" i="6"/>
  <c r="C1" i="5" l="1"/>
  <c r="C2" i="5"/>
  <c r="E2" i="5" s="1"/>
  <c r="C13" i="2"/>
  <c r="D13" i="2"/>
  <c r="G13" i="2" s="1"/>
  <c r="H13" i="2" s="1"/>
  <c r="I13" i="2" s="1"/>
  <c r="A2" i="5"/>
  <c r="A3" i="5"/>
  <c r="A1" i="5"/>
  <c r="D24" i="6"/>
  <c r="B25" i="6"/>
  <c r="E23" i="6"/>
  <c r="C23" i="6"/>
  <c r="E1" i="5" l="1"/>
  <c r="F1" i="5" s="1"/>
  <c r="F3" i="5"/>
  <c r="A13" i="1"/>
  <c r="A13" i="2"/>
  <c r="B26" i="6"/>
  <c r="D25" i="6"/>
  <c r="E24" i="6"/>
  <c r="C24" i="6"/>
  <c r="F2" i="5" l="1"/>
  <c r="E25" i="6"/>
  <c r="C25" i="6"/>
  <c r="B27" i="6"/>
  <c r="D26" i="6"/>
  <c r="E26" i="6" l="1"/>
  <c r="C26" i="6"/>
  <c r="D27" i="6"/>
  <c r="B28" i="6"/>
  <c r="B29" i="6" l="1"/>
  <c r="D28" i="6"/>
  <c r="C27" i="6"/>
  <c r="E27" i="6"/>
  <c r="B30" i="6" l="1"/>
  <c r="D29" i="6"/>
  <c r="E28" i="6"/>
  <c r="C28" i="6"/>
  <c r="E29" i="6" l="1"/>
  <c r="C29" i="6"/>
  <c r="B31" i="6"/>
  <c r="D30" i="6"/>
  <c r="D31" i="6" l="1"/>
  <c r="B32" i="6"/>
  <c r="E30" i="6"/>
  <c r="C30" i="6"/>
  <c r="B33" i="6" l="1"/>
  <c r="D32" i="6"/>
  <c r="C31" i="6"/>
  <c r="E31" i="6"/>
  <c r="E32" i="6" l="1"/>
  <c r="C32" i="6"/>
  <c r="H20" i="6" s="1"/>
  <c r="B34" i="6"/>
  <c r="D33" i="6"/>
  <c r="D6" i="5" l="1"/>
  <c r="C5" i="5"/>
  <c r="C6" i="5"/>
  <c r="A5" i="5"/>
  <c r="A6" i="5"/>
  <c r="E33" i="6"/>
  <c r="C33" i="6"/>
  <c r="B35" i="6"/>
  <c r="D34" i="6"/>
  <c r="A16" i="1" a="1"/>
  <c r="A15" i="1" a="1"/>
  <c r="A18" i="1" a="1"/>
  <c r="D15" i="2" a="1"/>
  <c r="F16" i="2" a="1"/>
  <c r="F14" i="2" a="1"/>
  <c r="F18" i="2" a="1"/>
  <c r="A18" i="2" a="1"/>
  <c r="A15" i="2" a="1"/>
  <c r="D18" i="2" a="1"/>
  <c r="A16" i="1" l="1"/>
  <c r="A15" i="1"/>
  <c r="A18" i="1"/>
  <c r="F18" i="2"/>
  <c r="F16" i="2"/>
  <c r="A15" i="2"/>
  <c r="D15" i="2"/>
  <c r="E5" i="5"/>
  <c r="G6" i="5"/>
  <c r="E6" i="5"/>
  <c r="F14" i="2"/>
  <c r="D18" i="2"/>
  <c r="A18" i="2"/>
  <c r="E34" i="6"/>
  <c r="C34" i="6"/>
  <c r="D35" i="6"/>
  <c r="B36" i="6"/>
  <c r="G18" i="2" a="1"/>
  <c r="G15" i="2" a="1"/>
  <c r="G15" i="2" l="1"/>
  <c r="F6" i="5"/>
  <c r="G18" i="2"/>
  <c r="F5" i="5"/>
  <c r="B37" i="6"/>
  <c r="D36" i="6"/>
  <c r="C35" i="6"/>
  <c r="E35" i="6"/>
  <c r="H18" i="2" a="1"/>
  <c r="H15" i="2" a="1"/>
  <c r="H15" i="2" l="1"/>
  <c r="I15" i="2" s="1"/>
  <c r="H18" i="2"/>
  <c r="I18" i="2" s="1"/>
  <c r="E36" i="6"/>
  <c r="C36" i="6"/>
  <c r="B38" i="6"/>
  <c r="D37" i="6"/>
  <c r="E37" i="6" l="1"/>
  <c r="C37" i="6"/>
  <c r="D38" i="6"/>
  <c r="B39" i="6"/>
  <c r="E38" i="6" l="1"/>
  <c r="C38" i="6"/>
  <c r="D39" i="6"/>
  <c r="B40" i="6"/>
  <c r="C39" i="6" l="1"/>
  <c r="E39" i="6"/>
  <c r="B41" i="6"/>
  <c r="D40" i="6"/>
  <c r="E40" i="6" l="1"/>
  <c r="C40" i="6"/>
  <c r="B42" i="6"/>
  <c r="D41" i="6"/>
  <c r="E41" i="6" l="1"/>
  <c r="C41" i="6"/>
  <c r="B43" i="6"/>
  <c r="D42" i="6"/>
  <c r="E42" i="6" l="1"/>
  <c r="C42" i="6"/>
  <c r="H21" i="6" s="1"/>
  <c r="D43" i="6"/>
  <c r="B44" i="6"/>
  <c r="A4" i="5" l="1"/>
  <c r="C4" i="5"/>
  <c r="B45" i="6"/>
  <c r="D44" i="6"/>
  <c r="C43" i="6"/>
  <c r="E43" i="6"/>
  <c r="A14" i="1" a="1"/>
  <c r="A17" i="1" a="1"/>
  <c r="D17" i="2" a="1"/>
  <c r="D14" i="2" a="1"/>
  <c r="D16" i="2" a="1"/>
  <c r="A16" i="2" a="1"/>
  <c r="A17" i="2" a="1"/>
  <c r="A14" i="2" a="1"/>
  <c r="A14" i="1" l="1"/>
  <c r="A17" i="1"/>
  <c r="D16" i="2"/>
  <c r="A16" i="2"/>
  <c r="A14" i="2"/>
  <c r="D14" i="2"/>
  <c r="E4" i="5"/>
  <c r="D17" i="2"/>
  <c r="A17" i="2"/>
  <c r="E44" i="6"/>
  <c r="C44" i="6"/>
  <c r="B46" i="6"/>
  <c r="D45" i="6"/>
  <c r="G16" i="2" a="1"/>
  <c r="G17" i="2" a="1"/>
  <c r="G14" i="2" a="1"/>
  <c r="G16" i="2" l="1"/>
  <c r="G14" i="2"/>
  <c r="G17" i="2"/>
  <c r="F4" i="5"/>
  <c r="E45" i="6"/>
  <c r="C45" i="6"/>
  <c r="B47" i="6"/>
  <c r="D46" i="6"/>
  <c r="H17" i="2" a="1"/>
  <c r="H14" i="2" a="1"/>
  <c r="H16" i="2" a="1"/>
  <c r="H16" i="2" l="1"/>
  <c r="I16" i="2" s="1"/>
  <c r="H14" i="2"/>
  <c r="I14" i="2" s="1"/>
  <c r="H17" i="2"/>
  <c r="I17" i="2" s="1"/>
  <c r="C46" i="6"/>
  <c r="E46" i="6"/>
  <c r="D47" i="6"/>
  <c r="B48" i="6"/>
  <c r="C47" i="6" l="1"/>
  <c r="E47" i="6"/>
  <c r="B49" i="6"/>
  <c r="D48" i="6"/>
  <c r="B50" i="6" l="1"/>
  <c r="D49" i="6"/>
  <c r="E48" i="6"/>
  <c r="C48" i="6"/>
  <c r="E49" i="6" l="1"/>
  <c r="C49" i="6"/>
  <c r="B51" i="6"/>
  <c r="D50" i="6"/>
  <c r="E50" i="6" l="1"/>
  <c r="C50" i="6"/>
  <c r="D51" i="6"/>
  <c r="B52" i="6"/>
  <c r="B53" i="6" l="1"/>
  <c r="D52" i="6"/>
  <c r="C51" i="6"/>
  <c r="E51" i="6"/>
  <c r="B54" i="6" l="1"/>
  <c r="D53" i="6"/>
  <c r="E52" i="6"/>
  <c r="C52" i="6"/>
  <c r="D54" i="6" l="1"/>
  <c r="B55" i="6"/>
  <c r="D55" i="6" s="1"/>
  <c r="E53" i="6"/>
  <c r="C53" i="6"/>
  <c r="E55" i="6" l="1"/>
  <c r="C55" i="6"/>
  <c r="E54" i="6"/>
  <c r="C54" i="6"/>
  <c r="G13" i="1" l="1"/>
  <c r="H13" i="1" s="1"/>
  <c r="I13" i="1" s="1"/>
  <c r="F1" i="8" l="1"/>
  <c r="M1" i="8"/>
  <c r="A2" i="8"/>
  <c r="A3" i="8"/>
  <c r="A4" i="8"/>
  <c r="A5" i="8"/>
  <c r="A6" i="8"/>
  <c r="A7" i="8"/>
  <c r="A8" i="8"/>
  <c r="A9" i="8"/>
  <c r="A10" i="8"/>
  <c r="A11" i="8"/>
  <c r="A12" i="8"/>
  <c r="A13" i="8"/>
  <c r="A14" i="8"/>
  <c r="A15" i="8"/>
  <c r="A16" i="8"/>
  <c r="A17" i="8"/>
  <c r="A18" i="8"/>
  <c r="A19" i="8"/>
  <c r="A20" i="8"/>
  <c r="A2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tc={49538CE4-14DD-426F-986D-258C246FA2AD}</author>
  </authors>
  <commentList>
    <comment ref="D8" authorId="0" shapeId="0" xr:uid="{49538CE4-14DD-426F-986D-258C246FA2AD}">
      <text>
        <t>[Threaded comment]
Your version of Excel allows you to read this threaded comment; however, any edits to it will get removed if the file is opened in a newer version of Excel. Learn more: https://go.microsoft.com/fwlink/?linkid=870924
Comment:
    https://youtu.be/v9yHmosJURk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<sst xmlns="http://schemas.openxmlformats.org/spreadsheetml/2006/main" count="122" uniqueCount="89">
  <si>
    <t>Excel Skills Learned</t>
  </si>
  <si>
    <r>
      <rPr>
        <b/>
        <sz val="11"/>
        <color theme="1"/>
        <rFont val="Calibri"/>
        <family val="2"/>
        <scheme val="minor"/>
      </rPr>
      <t>Instructions</t>
    </r>
    <r>
      <rPr>
        <sz val="12"/>
        <color theme="1"/>
        <rFont val="Calibri"/>
        <family val="2"/>
        <scheme val="minor"/>
      </rPr>
      <t xml:space="preserve">: Open the tab labeled "Games" and complete the tasks indicated there. Start by entering your name where indicated. Pay attention to the legend and note that the sheet is self-checking. </t>
    </r>
  </si>
  <si>
    <t>Upon completing the sheet, you should have an understanding of:</t>
  </si>
  <si>
    <t>1. Use the counting formulas =COMBIN(n,m) and =PERMUT(n, m)</t>
  </si>
  <si>
    <t>Math Skills Learned</t>
  </si>
  <si>
    <t>1. When to use permutations, P(n,m) or =PERMUT(n,m) and/or combinations, C(n,m) or =COMBIN(n,m).</t>
  </si>
  <si>
    <t>2. How to compute probabilities for events using counting.</t>
  </si>
  <si>
    <t>Video on counting</t>
  </si>
  <si>
    <t>3. How to convert probabilities into odds.</t>
  </si>
  <si>
    <t>Enter Name  ⇒</t>
  </si>
  <si>
    <t>Your Name Here</t>
  </si>
  <si>
    <t>Legend</t>
  </si>
  <si>
    <r>
      <t xml:space="preserve">This is a self grading sheet for columns B, D, F, and G. If your answer is correct it will show </t>
    </r>
    <r>
      <rPr>
        <b/>
        <sz val="12"/>
        <color rgb="FF00B050"/>
        <rFont val="Calibri"/>
        <family val="2"/>
        <scheme val="minor"/>
      </rPr>
      <t>green</t>
    </r>
    <r>
      <rPr>
        <sz val="12"/>
        <color theme="1"/>
        <rFont val="Calibri"/>
        <family val="2"/>
        <scheme val="minor"/>
      </rPr>
      <t xml:space="preserve">, else you will see </t>
    </r>
    <r>
      <rPr>
        <b/>
        <sz val="12"/>
        <color rgb="FFFF0000"/>
        <rFont val="Calibri"/>
        <family val="2"/>
        <scheme val="minor"/>
      </rPr>
      <t>red</t>
    </r>
    <r>
      <rPr>
        <sz val="12"/>
        <color theme="1"/>
        <rFont val="Calibri"/>
        <family val="2"/>
        <scheme val="minor"/>
      </rPr>
      <t>.</t>
    </r>
  </si>
  <si>
    <t>If a cell is shaded</t>
  </si>
  <si>
    <t>You should</t>
  </si>
  <si>
    <t>Salmon</t>
  </si>
  <si>
    <t>Make a selection</t>
  </si>
  <si>
    <t>Blue</t>
  </si>
  <si>
    <t>Enter a text response</t>
  </si>
  <si>
    <t>Green</t>
  </si>
  <si>
    <t>Enter a number</t>
  </si>
  <si>
    <t>Gold</t>
  </si>
  <si>
    <t>Enter an Excel formula</t>
  </si>
  <si>
    <t>Any other color</t>
  </si>
  <si>
    <t>Make no changes</t>
  </si>
  <si>
    <t>Game</t>
  </si>
  <si>
    <t>Is this a permutation (the order of picks matters) or a combination (the order does not matter)?</t>
  </si>
  <si>
    <t>Describe how to calculate the # of outcomes</t>
  </si>
  <si>
    <t>Total # of outcomes for the game (use PERMUT() or COMBIN())</t>
  </si>
  <si>
    <t>Describe how you can win this game</t>
  </si>
  <si>
    <t>Total # of ways that you can win (enter a number or formula as indicated)</t>
  </si>
  <si>
    <t>Probability of Winning</t>
  </si>
  <si>
    <t>Odds against winning
= (1 - P)/P</t>
  </si>
  <si>
    <t>Interpretation of odds.</t>
  </si>
  <si>
    <t>Permutation</t>
  </si>
  <si>
    <t>You must pick the right first horse and then the right second horse</t>
  </si>
  <si>
    <t>Combination</t>
  </si>
  <si>
    <t>Richard</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</si>
  <si>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</si>
  <si>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</si>
  <si>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</si>
  <si>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</si>
  <si>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</si>
  <si>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</si>
  <si>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</si>
  <si>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</si>
  <si>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</si>
  <si>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</si>
  <si>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</si>
  <si>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</si>
  <si>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</si>
  <si>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</si>
  <si>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</si>
  <si>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</si>
  <si>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</si>
  <si>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</si>
  <si>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</si>
  <si>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</si>
  <si>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</si>
  <si>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</si>
  <si>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</si>
  <si>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</si>
  <si>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</si>
  <si>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</si>
  <si>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</si>
  <si>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</si>
  <si>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</si>
  <si>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</si>
  <si>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</si>
  <si>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</si>
  <si>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</si>
  <si>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</si>
  <si>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</si>
  <si>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</si>
  <si>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</si>
  <si>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</si>
  <si>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</si>
  <si>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</si>
  <si>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</si>
  <si>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</si>
  <si>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</si>
  <si>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</si>
  <si>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</si>
  <si>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permutation</t>
  </si>
  <si>
    <t>combination</t>
  </si>
  <si>
    <t>Ignore the Halo preview you must download and open the file in Excel to correctly see the contents.</t>
  </si>
  <si>
    <t>Names</t>
  </si>
  <si>
    <t>Reset</t>
  </si>
  <si>
    <t>Pick any 2 out of 35 horses, where the order of selection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</si>
</sst>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0%"/>
  </numFmts>
  <fonts count="16">
    <font>
      <sz val="12"/>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b/>
      <sz val="12"/>
      <color theme="1"/>
      <name val="Calibri"/>
      <family val="2"/>
      <scheme val="minor"/>
    </font>
    <font>
      <b/>
      <sz val="12"/>
      <color rgb="FFFF0000"/>
      <name val="Calibri"/>
      <family val="2"/>
      <scheme val="minor"/>
    </font>
    <font>
      <b/>
      <sz val="12"/>
      <color rgb="FF00B050"/>
      <name val="Calibri"/>
      <family val="2"/>
      <scheme val="minor"/>
    </font>
    <font>
      <b/>
      <sz val="12"/>
      <color theme="0"/>
      <name val="Bradley Hand ITC"/>
      <family val="4"/>
    </font>
    <font>
      <b/>
      <sz val="11"/>
      <color rgb="FFC00000"/>
      <name val="Calibri"/>
      <family val="2"/>
      <scheme val="minor"/>
    </font>
    <font>
      <u/>
      <sz val="12"/>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0"/>
      <color theme="0"/>
      <name val="Arial Unicode MS"/>
    </font>
    <font>
      <b/>
      <sz val="18"/>
      <color theme="10"/>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3">
    <xf numFmtId="0" fontId="0" fillId="0" borderId="0"/>
    <xf numFmtId="0" fontId="10" fillId="0" borderId="0" applyNumberFormat="0" applyFill="0" applyBorder="0" applyAlignment="0" applyProtection="0"/>
    <xf numFmtId="9" fontId="12" fillId="0" borderId="0" applyFont="0" applyFill="0" applyBorder="0" applyAlignment="0" applyProtection="0"/>
  </cellStyleXfs>
  <cellXfs count="80">
    <xf numFmtId="0" fontId="0" fillId="0" borderId="0" xfId="0"/>
    <xf numFmtId="0" fontId="0" fillId="0" borderId="0" xfId="0" applyAlignment="1">
      <alignment horizontal="center"/>
    </xf>
    <xf numFmtId="0" fontId="0" fillId="0" borderId="0" xfId="0" applyAlignment="1">
      <alignment wrapText="1"/>
    </xf>
    <xf numFmtId="11" fontId="0" fillId="0" borderId="0" xfId="0" applyNumberFormat="1" applyAlignment="1">
      <alignment horizontal="center"/>
    </xf>
    <xf numFmtId="0" fontId="2" fillId="0" borderId="0" xfId="0" applyFont="1" applyAlignment="1">
      <alignment horizont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 fontId="0" fillId="5" borderId="1" xfId="0" applyNumberFormat="1" applyFill="1" applyBorder="1" applyAlignment="1">
      <alignment horizontal="center" vertical="center"/>
    </xf>
    <xf numFmtId="1" fontId="0" fillId="4" borderId="1" xfId="0" applyNumberFormat="1" applyFill="1" applyBorder="1" applyAlignment="1">
      <alignment horizontal="center" vertical="center"/>
    </xf>
    <xf numFmtId="164" fontId="0" fillId="5" borderId="1" xfId="0" applyNumberFormat="1" applyFill="1" applyBorder="1" applyAlignment="1">
      <alignment horizontal="center" vertical="center"/>
    </xf>
    <xf numFmtId="0" fontId="3" fillId="2" borderId="1" xfId="0" applyFont="1" applyFill="1" applyBorder="1" applyAlignment="1">
      <alignment horizontal="left" vertical="center" wrapText="1"/>
    </xf>
    <xf numFmtId="0" fontId="5" fillId="0" borderId="0" xfId="0" applyFont="1" applyAlignment="1">
      <alignment horizontal="center" vertical="center" wrapText="1"/>
    </xf>
    <xf numFmtId="0" fontId="0" fillId="3" borderId="4" xfId="0" applyFill="1" applyBorder="1" applyAlignment="1" applyProtection="1">
      <alignment horizontal="center" vertical="center" wrapText="1"/>
      <protection locked="0"/>
    </xf>
    <xf numFmtId="0" fontId="0" fillId="3" borderId="5" xfId="0" applyFill="1" applyBorder="1" applyAlignment="1" applyProtection="1">
      <alignment horizontal="center" vertical="center" wrapText="1"/>
      <protection locked="0"/>
    </xf>
    <xf numFmtId="0" fontId="0" fillId="7" borderId="6" xfId="0" applyFill="1" applyBorder="1" applyAlignment="1">
      <alignment horizontal="center" wrapText="1"/>
    </xf>
    <xf numFmtId="0" fontId="0" fillId="0" borderId="7" xfId="0" applyBorder="1" applyAlignment="1">
      <alignment horizontal="center" wrapText="1"/>
    </xf>
    <xf numFmtId="0" fontId="0" fillId="6" borderId="4" xfId="0" applyFill="1"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4" borderId="4" xfId="0" applyFill="1" applyBorder="1" applyAlignment="1" applyProtection="1">
      <alignment horizontal="center" vertical="center" wrapText="1"/>
      <protection locked="0"/>
    </xf>
    <xf numFmtId="0" fontId="0" fillId="5" borderId="4"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9" fillId="9" borderId="0" xfId="0" applyFont="1" applyFill="1" applyAlignment="1">
      <alignment horizontal="right" vertical="center" wrapText="1"/>
    </xf>
    <xf numFmtId="0" fontId="0" fillId="0" borderId="15" xfId="0" applyBorder="1" applyAlignment="1">
      <alignment horizontal="center"/>
    </xf>
    <xf numFmtId="0" fontId="8" fillId="8" borderId="15" xfId="0" applyFont="1" applyFill="1" applyBorder="1" applyAlignment="1">
      <alignment horizontal="center" wrapText="1"/>
    </xf>
    <xf numFmtId="1" fontId="0" fillId="10" borderId="1" xfId="0" applyNumberFormat="1" applyFill="1" applyBorder="1" applyAlignment="1">
      <alignment horizontal="center" vertical="center"/>
    </xf>
    <xf numFmtId="164" fontId="0" fillId="10" borderId="1" xfId="0" applyNumberFormat="1" applyFill="1" applyBorder="1" applyAlignment="1">
      <alignment horizontal="center" vertical="center"/>
    </xf>
    <xf numFmtId="0" fontId="1" fillId="0" borderId="0" xfId="0" applyFont="1" applyAlignment="1">
      <alignment horizontal="center" wrapText="1"/>
    </xf>
    <xf numFmtId="0" fontId="1" fillId="0" borderId="0" xfId="0" applyFont="1" applyAlignment="1">
      <alignment horizontal="right" wrapText="1"/>
    </xf>
    <xf numFmtId="0" fontId="1" fillId="2"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165" fontId="0" fillId="0" borderId="0" xfId="2" applyNumberFormat="1" applyFont="1"/>
    <xf numFmtId="0" fontId="4" fillId="2" borderId="15"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13" fillId="11" borderId="0" xfId="0" applyFont="1" applyFill="1"/>
    <xf numFmtId="0" fontId="14" fillId="11" borderId="0" xfId="0" applyFont="1" applyFill="1" applyAlignment="1">
      <alignment vertical="center"/>
    </xf>
    <xf numFmtId="1" fontId="13" fillId="11" borderId="0" xfId="0" applyNumberFormat="1" applyFont="1" applyFill="1"/>
    <xf numFmtId="0" fontId="13" fillId="11" borderId="0" xfId="0" applyFont="1" applyFill="1" applyAlignment="1">
      <alignment horizontal="center"/>
    </xf>
    <xf numFmtId="2" fontId="13" fillId="11" borderId="0" xfId="0" applyNumberFormat="1" applyFont="1" applyFill="1"/>
    <xf numFmtId="0" fontId="1" fillId="7" borderId="1" xfId="0" applyFont="1" applyFill="1" applyBorder="1" applyAlignment="1" applyProtection="1">
      <alignment horizontal="center" vertical="center" wrapText="1"/>
      <protection locked="0"/>
    </xf>
    <xf numFmtId="0" fontId="1" fillId="6" borderId="1" xfId="0" applyFont="1" applyFill="1" applyBorder="1" applyAlignment="1" applyProtection="1">
      <alignment horizontal="center" vertical="center" wrapText="1"/>
      <protection locked="0"/>
    </xf>
    <xf numFmtId="1" fontId="1" fillId="5" borderId="1" xfId="0" applyNumberFormat="1" applyFont="1" applyFill="1" applyBorder="1" applyAlignment="1" applyProtection="1">
      <alignment horizontal="center" vertical="center" wrapText="1"/>
      <protection locked="0"/>
    </xf>
    <xf numFmtId="1" fontId="0" fillId="4" borderId="1" xfId="0" applyNumberFormat="1" applyFill="1" applyBorder="1" applyAlignment="1" applyProtection="1">
      <alignment horizontal="center" vertical="center"/>
      <protection locked="0"/>
    </xf>
    <xf numFmtId="164" fontId="0" fillId="5" borderId="1" xfId="0" applyNumberFormat="1" applyFill="1" applyBorder="1" applyAlignment="1" applyProtection="1">
      <alignment horizontal="center" vertical="center"/>
      <protection locked="0"/>
    </xf>
    <xf numFmtId="1" fontId="0" fillId="5" borderId="1" xfId="0" applyNumberFormat="1" applyFill="1" applyBorder="1" applyAlignment="1" applyProtection="1">
      <alignment horizontal="center" vertical="center"/>
      <protection locked="0"/>
    </xf>
    <xf numFmtId="0" fontId="3" fillId="7"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1" fontId="3" fillId="5" borderId="1" xfId="0" applyNumberFormat="1" applyFont="1" applyFill="1" applyBorder="1" applyAlignment="1" applyProtection="1">
      <alignment horizontal="center" vertical="center" wrapText="1"/>
      <protection locked="0"/>
    </xf>
    <xf numFmtId="0" fontId="1" fillId="2" borderId="1" xfId="0" applyFont="1" applyFill="1" applyBorder="1" applyAlignment="1" applyProtection="1">
      <alignment horizontal="left" vertical="center" wrapText="1"/>
      <protection hidden="1"/>
    </xf>
    <xf numFmtId="0" fontId="8" fillId="8" borderId="15" xfId="0" applyFont="1" applyFill="1" applyBorder="1" applyAlignment="1" applyProtection="1">
      <alignment horizontal="center" wrapText="1"/>
      <protection locked="0"/>
    </xf>
    <xf numFmtId="0" fontId="5" fillId="2" borderId="1" xfId="0" applyFont="1" applyFill="1" applyBorder="1" applyAlignment="1" applyProtection="1">
      <alignment horizontal="center" vertical="center" wrapText="1"/>
      <protection hidden="1"/>
    </xf>
    <xf numFmtId="0" fontId="0" fillId="0" borderId="0" xfId="0" applyAlignment="1" applyProtection="1">
      <alignment horizontal="center"/>
      <protection locked="0"/>
    </xf>
    <xf numFmtId="0" fontId="0" fillId="2" borderId="2" xfId="0" applyFill="1" applyBorder="1" applyAlignment="1">
      <alignment horizontal="left" vertical="center" wrapText="1" indent="1"/>
    </xf>
    <xf numFmtId="0" fontId="0" fillId="2" borderId="16"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6" xfId="0" applyFill="1" applyBorder="1" applyAlignment="1">
      <alignment horizontal="left" vertical="center" wrapText="1" indent="1"/>
    </xf>
    <xf numFmtId="0" fontId="0" fillId="2" borderId="0" xfId="0" applyFill="1" applyAlignment="1">
      <alignment horizontal="left" vertical="center" wrapText="1" indent="1"/>
    </xf>
    <xf numFmtId="0" fontId="0" fillId="2" borderId="7" xfId="0" applyFill="1" applyBorder="1" applyAlignment="1">
      <alignment horizontal="left" vertical="center" wrapText="1" indent="1"/>
    </xf>
    <xf numFmtId="0" fontId="0" fillId="2" borderId="10" xfId="0" applyFill="1" applyBorder="1" applyAlignment="1">
      <alignment horizontal="left" vertical="center" wrapText="1" indent="1"/>
    </xf>
    <xf numFmtId="0" fontId="0" fillId="2" borderId="17" xfId="0" applyFill="1" applyBorder="1" applyAlignment="1">
      <alignment horizontal="left" vertical="center" wrapText="1" indent="1"/>
    </xf>
    <xf numFmtId="0" fontId="0" fillId="2" borderId="11" xfId="0" applyFill="1" applyBorder="1" applyAlignment="1">
      <alignment horizontal="left" vertical="center" wrapText="1" indent="1"/>
    </xf>
    <xf numFmtId="0" fontId="15" fillId="0" borderId="2" xfId="1" applyFont="1" applyBorder="1" applyAlignment="1">
      <alignment horizontal="center" vertical="center"/>
    </xf>
    <xf numFmtId="0" fontId="15" fillId="0" borderId="16" xfId="1" applyFont="1" applyBorder="1" applyAlignment="1">
      <alignment horizontal="center" vertical="center"/>
    </xf>
    <xf numFmtId="0" fontId="15" fillId="0" borderId="3" xfId="1" applyFont="1" applyBorder="1" applyAlignment="1">
      <alignment horizontal="center" vertical="center"/>
    </xf>
    <xf numFmtId="0" fontId="15" fillId="0" borderId="10" xfId="1" applyFont="1" applyBorder="1" applyAlignment="1">
      <alignment horizontal="center" vertical="center"/>
    </xf>
    <xf numFmtId="0" fontId="15" fillId="0" borderId="17" xfId="1" applyFont="1" applyBorder="1" applyAlignment="1">
      <alignment horizontal="center" vertical="center"/>
    </xf>
    <xf numFmtId="0" fontId="15" fillId="0" borderId="11" xfId="1" applyFont="1" applyBorder="1" applyAlignment="1">
      <alignment horizontal="center" vertical="center"/>
    </xf>
    <xf numFmtId="0" fontId="0" fillId="0" borderId="0" xfId="0" applyAlignment="1">
      <alignment horizontal="center"/>
    </xf>
    <xf numFmtId="0" fontId="0" fillId="2" borderId="2" xfId="0" applyFill="1" applyBorder="1" applyAlignment="1" applyProtection="1">
      <alignment horizontal="center" vertical="center" wrapText="1"/>
      <protection locked="0"/>
    </xf>
    <xf numFmtId="0" fontId="0" fillId="2" borderId="3" xfId="0" applyFill="1" applyBorder="1" applyAlignment="1" applyProtection="1">
      <alignment horizontal="center" vertical="center" wrapText="1"/>
      <protection locked="0"/>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11" fillId="0" borderId="0" xfId="0" applyFont="1" applyAlignment="1">
      <alignment horizontal="center" vertical="center" wrapText="1"/>
    </xf>
  </cellXfs>
  <cellStyles count="3">
    <cellStyle name="Hyperlink" xfId="1" builtinId="8"/>
    <cellStyle name="Normal" xfId="0" builtinId="0"/>
    <cellStyle name="Percent" xfId="2" builtinId="5"/>
  </cellStyles>
  <dxfs count="5">
    <dxf>
      <font>
        <color theme="0"/>
      </font>
      <fill>
        <patternFill>
          <bgColor theme="0" tint="-4.9989318521683403E-2"/>
        </patternFill>
      </fill>
    </dxf>
    <dxf>
      <fill>
        <patternFill>
          <bgColor theme="7" tint="0.59996337778862885"/>
        </patternFill>
      </fill>
    </dxf>
    <dxf>
      <font>
        <b/>
        <i val="0"/>
        <color rgb="FF00B050"/>
      </font>
    </dxf>
    <dxf>
      <font>
        <b/>
        <i val="0"/>
        <color rgb="FFFF0000"/>
      </font>
    </dxf>
    <dxf>
      <font>
        <color theme="0"/>
      </font>
      <fill>
        <patternFill>
          <bgColor theme="0" tint="-4.9989318521683403E-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19049</xdr:rowOff>
    </xdr:from>
    <xdr:ext cx="15811500" cy="9229725"/>
    <xdr:sp macro="" textlink="">
      <xdr:nvSpPr>
        <xdr:cNvPr id="2" name="TextBox 1">
          <a:extLst>
            <a:ext uri="{FF2B5EF4-FFF2-40B4-BE49-F238E27FC236}">
              <a16:creationId xmlns:a16="http://schemas.microsoft.com/office/drawing/2014/main" id="{4D7271D3-27A9-3E07-5932-DC7BDA567267}"/>
            </a:ext>
          </a:extLst>
        </xdr:cNvPr>
        <xdr:cNvSpPr txBox="1"/>
      </xdr:nvSpPr>
      <xdr:spPr>
        <a:xfrm>
          <a:off x="28575" y="19049"/>
          <a:ext cx="15811500" cy="9229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kern="12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9F5C1CFB-46E6-4089-BB1B-089ADA43D36F}" userId="S::richard.ketchersid@gcu.edu::a14ec2f7-27bd-40c3-90d9-209834cdef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 dT="2026-07-16T20:19:58.71" personId="{9F5C1CFB-46E6-4089-BB1B-089ADA43D36F}" id="{49538CE4-14DD-426F-986D-258C246FA2AD}">
    <text>https://youtu.be/v9yHmosJURk</text>
    <extLst>
      <x:ext xmlns:xltc2="http://schemas.microsoft.com/office/spreadsheetml/2020/threadedcomments2" uri="{F7C98A9C-CBB3-438F-8F68-D28B6AF4A901}">
        <xltc2:checksum>2595144275</xltc2:checksum>
        <xltc2:hyperlink startIndex="0" length="28" url="https://youtu.be/v9yHmosJURk"/>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youtu.be/v9yHmosJURk"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9091-89C4-4C81-92DE-E00831BDB54A}">
  <dimension ref="B1:I9"/>
  <sheetViews>
    <sheetView tabSelected="1" workbookViewId="0">
      <selection activeCell="B2" sqref="B2"/>
    </sheetView>
  </sheetViews>
  <sheetFormatPr defaultRowHeight="15.75"/>
  <cols>
    <col min="2" max="2" width="57.625" bestFit="1" customWidth="1"/>
  </cols>
  <sheetData>
    <row r="1" spans="2:9" ht="16.5" thickBot="1"/>
    <row r="2" spans="2:9" ht="16.5" thickBot="1">
      <c r="B2" s="37" t="s">
        <v>0</v>
      </c>
      <c r="D2" s="58" t="s">
        <v>1</v>
      </c>
      <c r="E2" s="59"/>
      <c r="F2" s="59"/>
      <c r="G2" s="59"/>
      <c r="H2" s="59"/>
      <c r="I2" s="60"/>
    </row>
    <row r="3" spans="2:9">
      <c r="B3" t="s">
        <v>2</v>
      </c>
      <c r="D3" s="61"/>
      <c r="E3" s="62"/>
      <c r="F3" s="62"/>
      <c r="G3" s="62"/>
      <c r="H3" s="62"/>
      <c r="I3" s="63"/>
    </row>
    <row r="4" spans="2:9">
      <c r="B4" s="38" t="s">
        <v>3</v>
      </c>
      <c r="D4" s="61"/>
      <c r="E4" s="62"/>
      <c r="F4" s="62"/>
      <c r="G4" s="62"/>
      <c r="H4" s="62"/>
      <c r="I4" s="63"/>
    </row>
    <row r="5" spans="2:9" ht="16.5" thickBot="1">
      <c r="B5" s="38"/>
      <c r="D5" s="61"/>
      <c r="E5" s="62"/>
      <c r="F5" s="62"/>
      <c r="G5" s="62"/>
      <c r="H5" s="62"/>
      <c r="I5" s="63"/>
    </row>
    <row r="6" spans="2:9" ht="16.5" thickBot="1">
      <c r="B6" s="37" t="s">
        <v>4</v>
      </c>
      <c r="D6" s="64"/>
      <c r="E6" s="65"/>
      <c r="F6" s="65"/>
      <c r="G6" s="65"/>
      <c r="H6" s="65"/>
      <c r="I6" s="66"/>
    </row>
    <row r="7" spans="2:9" ht="32.25" thickBot="1">
      <c r="B7" s="39" t="s">
        <v>5</v>
      </c>
    </row>
    <row r="8" spans="2:9" ht="18.75" customHeight="1">
      <c r="B8" s="39" t="s">
        <v>6</v>
      </c>
      <c r="D8" s="67" t="s">
        <v>7</v>
      </c>
      <c r="E8" s="68"/>
      <c r="F8" s="68"/>
      <c r="G8" s="69"/>
    </row>
    <row r="9" spans="2:9" ht="16.5" thickBot="1">
      <c r="B9" s="38" t="s">
        <v>8</v>
      </c>
      <c r="D9" s="70"/>
      <c r="E9" s="71"/>
      <c r="F9" s="71"/>
      <c r="G9" s="72"/>
    </row>
  </sheetData>
  <mergeCells count="2">
    <mergeCell ref="D2:I6"/>
    <mergeCell ref="D8:G9"/>
  </mergeCells>
  <hyperlinks>
    <hyperlink ref="D8:G9" r:id="rId1" display="Video on counting" xr:uid="{BD97EEB3-2AAF-4125-BE9F-2D5C4AD979C5}"/>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141C-C3D9-4AA2-ABC8-D0BBBA265596}">
  <dimension ref="A1:M21"/>
  <sheetViews>
    <sheetView workbookViewId="0">
      <selection activeCell="C2" sqref="C2"/>
    </sheetView>
  </sheetViews>
  <sheetFormatPr defaultRowHeight="15.75"/>
  <cols>
    <col min="1" max="1" width="9" style="1"/>
  </cols>
  <sheetData>
    <row r="1" spans="1:13">
      <c r="A1" s="1" t="s">
        <v>86</v>
      </c>
      <c r="B1" t="s">
        <v>87</v>
      </c>
      <c r="C1" s="57">
        <v>1</v>
      </c>
      <c r="D1" t="str">
        <f>Games!C2</f>
        <v>Your Name Here</v>
      </c>
      <c r="F1" s="73" t="str">
        <f ca="1">IF(M1="ACTIVE", "✓ Tracking Active", "⚠️ ERROR: Enable Iterative Calculations (File &gt; Options &gt; Formulas)")</f>
        <v>✓ Tracking Active</v>
      </c>
      <c r="G1" s="73"/>
      <c r="H1" s="73"/>
      <c r="I1" s="73"/>
      <c r="J1" s="73"/>
      <c r="K1" s="73"/>
      <c r="L1" s="73"/>
      <c r="M1" s="1" t="str">
        <f ca="1">IF(M1="ACTIVE", "ACTIVE", "ACTIVE")</f>
        <v>ACTIVE</v>
      </c>
    </row>
    <row r="2" spans="1:13">
      <c r="A2" s="1" t="str">
        <f t="shared" ref="A2:A19" ca="1" si="0">IF(D$1&lt;&gt;A3,A3,A2)</f>
        <v/>
      </c>
    </row>
    <row r="3" spans="1:13">
      <c r="A3" s="1" t="str">
        <f t="shared" ca="1" si="0"/>
        <v/>
      </c>
    </row>
    <row r="4" spans="1:13">
      <c r="A4" s="1" t="str">
        <f t="shared" ca="1" si="0"/>
        <v/>
      </c>
    </row>
    <row r="5" spans="1:13">
      <c r="A5" s="1" t="str">
        <f t="shared" ca="1" si="0"/>
        <v/>
      </c>
    </row>
    <row r="6" spans="1:13">
      <c r="A6" s="1" t="str">
        <f t="shared" ca="1" si="0"/>
        <v/>
      </c>
    </row>
    <row r="7" spans="1:13">
      <c r="A7" s="1" t="str">
        <f t="shared" ca="1" si="0"/>
        <v/>
      </c>
    </row>
    <row r="8" spans="1:13">
      <c r="A8" s="1" t="str">
        <f t="shared" ca="1" si="0"/>
        <v/>
      </c>
    </row>
    <row r="9" spans="1:13">
      <c r="A9" s="1" t="str">
        <f t="shared" ca="1" si="0"/>
        <v/>
      </c>
    </row>
    <row r="10" spans="1:13">
      <c r="A10" s="1" t="str">
        <f t="shared" ca="1" si="0"/>
        <v/>
      </c>
    </row>
    <row r="11" spans="1:13">
      <c r="A11" s="1" t="str">
        <f t="shared" ca="1" si="0"/>
        <v/>
      </c>
    </row>
    <row r="12" spans="1:13">
      <c r="A12" s="1" t="str">
        <f t="shared" ca="1" si="0"/>
        <v/>
      </c>
    </row>
    <row r="13" spans="1:13">
      <c r="A13" s="1" t="str">
        <f t="shared" ca="1" si="0"/>
        <v/>
      </c>
    </row>
    <row r="14" spans="1:13">
      <c r="A14" s="1" t="str">
        <f t="shared" ca="1" si="0"/>
        <v/>
      </c>
    </row>
    <row r="15" spans="1:13">
      <c r="A15" s="1" t="str">
        <f t="shared" ca="1" si="0"/>
        <v/>
      </c>
    </row>
    <row r="16" spans="1:13">
      <c r="A16" s="1" t="str">
        <f t="shared" ca="1" si="0"/>
        <v/>
      </c>
    </row>
    <row r="17" spans="1:1">
      <c r="A17" s="1" t="str">
        <f t="shared" ca="1" si="0"/>
        <v/>
      </c>
    </row>
    <row r="18" spans="1:1">
      <c r="A18" s="1" t="str">
        <f t="shared" ca="1" si="0"/>
        <v/>
      </c>
    </row>
    <row r="19" spans="1:1">
      <c r="A19" s="1" t="str">
        <f t="shared" ca="1" si="0"/>
        <v/>
      </c>
    </row>
    <row r="20" spans="1:1">
      <c r="A20" s="1" t="str">
        <f ca="1">IF(D$1&lt;&gt;A21,A21,A20)</f>
        <v/>
      </c>
    </row>
    <row r="21" spans="1:1">
      <c r="A21" s="1" t="str">
        <f ca="1">IF(C1="","",IF(D$1&lt;&gt;A21,D$1,A21))</f>
        <v>Your Name Here</v>
      </c>
    </row>
  </sheetData>
  <sheetProtection algorithmName="SHA-512" hashValue="S4+JDzynWP2n+mLldpnV32e3to+jdeyFhU2e2LBF7ZlCPxs+GUlaGRk924zl21J4IWI6tph8MlFYaqDBFzW0Aw==" saltValue="pYIRqrpdnO2DI2H9hvHT5w==" spinCount="100000" sheet="1" objects="1" scenarios="1"/>
  <mergeCells count="1">
    <mergeCell ref="F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showRuler="0" zoomScaleNormal="100" workbookViewId="0">
      <selection activeCell="C2" sqref="C2"/>
    </sheetView>
  </sheetViews>
  <sheetFormatPr defaultColWidth="11" defaultRowHeight="15.75"/>
  <cols>
    <col min="1" max="1" width="71.5" style="4" customWidth="1"/>
    <col min="2" max="2" width="21.875" style="4" customWidth="1"/>
    <col min="3" max="3" width="24.625" style="4" customWidth="1"/>
    <col min="4" max="4" width="18.75" style="4" customWidth="1"/>
    <col min="5" max="5" width="25.75" style="4" customWidth="1"/>
    <col min="6" max="6" width="18.75" style="1" customWidth="1"/>
    <col min="7" max="7" width="18.25" style="1" customWidth="1"/>
    <col min="8" max="8" width="15.75" customWidth="1"/>
    <col min="9" max="9" width="34.125" style="12" customWidth="1"/>
    <col min="10" max="10" width="20.875" customWidth="1"/>
    <col min="11" max="11" width="23.25" customWidth="1"/>
  </cols>
  <sheetData>
    <row r="1" spans="1:9" ht="16.5" thickBot="1">
      <c r="A1" s="28"/>
      <c r="B1" s="28"/>
      <c r="C1" s="28"/>
      <c r="D1" s="28"/>
      <c r="E1" s="28"/>
    </row>
    <row r="2" spans="1:9" ht="17.25">
      <c r="A2" s="28"/>
      <c r="B2" s="23" t="s">
        <v>9</v>
      </c>
      <c r="C2" s="55" t="s">
        <v>10</v>
      </c>
      <c r="D2" s="28"/>
      <c r="E2" s="28"/>
    </row>
    <row r="3" spans="1:9" ht="16.5" thickBot="1">
      <c r="A3" s="28"/>
      <c r="B3" s="29"/>
      <c r="C3" s="28"/>
      <c r="D3" s="28"/>
      <c r="E3" s="28"/>
    </row>
    <row r="4" spans="1:9" ht="16.5" thickBot="1">
      <c r="A4" s="28"/>
      <c r="B4" s="74" t="s">
        <v>11</v>
      </c>
      <c r="C4" s="75"/>
      <c r="D4" s="28"/>
      <c r="E4" s="28"/>
    </row>
    <row r="5" spans="1:9" ht="16.5" thickBot="1">
      <c r="A5" s="76" t="s">
        <v>12</v>
      </c>
      <c r="B5" s="13" t="s">
        <v>13</v>
      </c>
      <c r="C5" s="14" t="s">
        <v>14</v>
      </c>
      <c r="D5" s="28"/>
      <c r="E5" s="28"/>
    </row>
    <row r="6" spans="1:9" ht="16.5" thickBot="1">
      <c r="A6" s="77"/>
      <c r="B6" s="15" t="s">
        <v>15</v>
      </c>
      <c r="C6" s="16" t="s">
        <v>16</v>
      </c>
      <c r="D6" s="28"/>
      <c r="E6" s="28"/>
      <c r="F6" s="24"/>
    </row>
    <row r="7" spans="1:9" ht="16.5" thickBot="1">
      <c r="A7" s="78"/>
      <c r="B7" s="17" t="s">
        <v>17</v>
      </c>
      <c r="C7" s="18" t="s">
        <v>18</v>
      </c>
      <c r="D7" s="28"/>
      <c r="E7" s="28"/>
    </row>
    <row r="8" spans="1:9">
      <c r="A8" s="28"/>
      <c r="B8" s="19" t="s">
        <v>19</v>
      </c>
      <c r="C8" s="18" t="s">
        <v>20</v>
      </c>
      <c r="D8" s="28"/>
      <c r="E8" s="28"/>
    </row>
    <row r="9" spans="1:9">
      <c r="A9" s="28"/>
      <c r="B9" s="20" t="s">
        <v>21</v>
      </c>
      <c r="C9" s="18" t="s">
        <v>22</v>
      </c>
      <c r="D9" s="28"/>
      <c r="E9" s="28"/>
    </row>
    <row r="10" spans="1:9" ht="16.5" thickBot="1">
      <c r="A10" s="28"/>
      <c r="B10" s="21" t="s">
        <v>23</v>
      </c>
      <c r="C10" s="22" t="s">
        <v>24</v>
      </c>
      <c r="D10" s="28"/>
      <c r="E10" s="28"/>
    </row>
    <row r="12" spans="1:9" s="2" customFormat="1" ht="63">
      <c r="A12" s="5" t="s">
        <v>25</v>
      </c>
      <c r="B12" s="5" t="s">
        <v>26</v>
      </c>
      <c r="C12" s="5" t="s">
        <v>27</v>
      </c>
      <c r="D12" s="5" t="s">
        <v>28</v>
      </c>
      <c r="E12" s="5" t="s">
        <v>29</v>
      </c>
      <c r="F12" s="6" t="s">
        <v>30</v>
      </c>
      <c r="G12" s="6" t="s">
        <v>31</v>
      </c>
      <c r="H12" s="6" t="s">
        <v>32</v>
      </c>
      <c r="I12" s="6" t="s">
        <v>33</v>
      </c>
    </row>
    <row r="13" spans="1:9" ht="70.5" customHeight="1">
      <c r="A13" s="30" t="str">
        <f ca="1">Sheet3!A1</f>
        <v>35 horses ran in the Kentucky Derby.  The Exacta bet involves picking the first two finishers in order.  Determine the number of outcomes for two horses finishing in the first two spots and the probability of winning the Exacta bet if you pick the horses at random.</v>
      </c>
      <c r="B13" s="31" t="s">
        <v>34</v>
      </c>
      <c r="C13" s="31" t="s">
        <v>88</v>
      </c>
      <c r="D13" s="32">
        <v>1190</v>
      </c>
      <c r="E13" s="31" t="s">
        <v>35</v>
      </c>
      <c r="F13" s="26">
        <v>1</v>
      </c>
      <c r="G13" s="27">
        <f>F13/D13</f>
        <v>8.4033613445378156E-4</v>
      </c>
      <c r="H13" s="26">
        <f>(1-G13)/G13</f>
        <v>1189</v>
      </c>
      <c r="I13" s="56" t="str">
        <f>"Your odds of winning are 1 to "&amp;H13&amp;"!"</f>
        <v>Your odds of winning are 1 to 1189!</v>
      </c>
    </row>
    <row r="14" spans="1:9" ht="70.5" customHeight="1">
      <c r="A14" s="54" t="str" cm="1">
        <f t="array" aca="1" ref="A14" ca="1">IF(C$2="Your Name Here", "Enter your name in C2",INDIRECT("Sheet3!A"&amp;Random!I19))</f>
        <v>Enter your name in C2</v>
      </c>
      <c r="B14" s="45"/>
      <c r="C14" s="46"/>
      <c r="D14" s="47"/>
      <c r="E14" s="46"/>
      <c r="F14" s="48"/>
      <c r="G14" s="49"/>
      <c r="H14" s="50"/>
      <c r="I14" s="56" t="str">
        <f>"Your odds of winning are 1 to "&amp;IF(NOT(ISBLANK(H14)),ROUND(H14,0),"???")&amp;"!"</f>
        <v>Your odds of winning are 1 to ???!</v>
      </c>
    </row>
    <row r="15" spans="1:9" ht="70.5" customHeight="1">
      <c r="A15" s="54" t="str" cm="1">
        <f t="array" aca="1" ref="A15" ca="1">IF(C$2="Your Name Here", "Enter your name in C2",INDIRECT("Sheet3!A"&amp;Random!I20))</f>
        <v>Enter your name in C2</v>
      </c>
      <c r="B15" s="45"/>
      <c r="C15" s="46"/>
      <c r="D15" s="47"/>
      <c r="E15" s="46"/>
      <c r="F15" s="48"/>
      <c r="G15" s="49"/>
      <c r="H15" s="50"/>
      <c r="I15" s="56" t="str">
        <f t="shared" ref="I15:I18" si="0">"Your odds of winning are 1 to "&amp;IF(NOT(ISBLANK(H15)),ROUND(H15,0),"???")&amp;"!"</f>
        <v>Your odds of winning are 1 to ???!</v>
      </c>
    </row>
    <row r="16" spans="1:9" ht="70.5" customHeight="1">
      <c r="A16" s="54" t="str" cm="1">
        <f t="array" aca="1" ref="A16" ca="1">IF(C$2="Your Name Here", "Enter your name in C2",INDIRECT("Sheet3!A"&amp;Random!I21))</f>
        <v>Enter your name in C2</v>
      </c>
      <c r="B16" s="51"/>
      <c r="C16" s="52"/>
      <c r="D16" s="53"/>
      <c r="E16" s="52"/>
      <c r="F16" s="48"/>
      <c r="G16" s="49"/>
      <c r="H16" s="50"/>
      <c r="I16" s="56" t="str">
        <f t="shared" si="0"/>
        <v>Your odds of winning are 1 to ???!</v>
      </c>
    </row>
    <row r="17" spans="1:9" ht="70.5" customHeight="1">
      <c r="A17" s="54" t="str" cm="1">
        <f t="array" aca="1" ref="A17" ca="1">IF(C$2="Your Name Here", "Enter your name in C2",INDIRECT("Sheet3!A"&amp;Random!I22))</f>
        <v>Enter your name in C2</v>
      </c>
      <c r="B17" s="51"/>
      <c r="C17" s="52"/>
      <c r="D17" s="53"/>
      <c r="E17" s="52"/>
      <c r="F17" s="48"/>
      <c r="G17" s="49"/>
      <c r="H17" s="50"/>
      <c r="I17" s="56" t="str">
        <f t="shared" si="0"/>
        <v>Your odds of winning are 1 to ???!</v>
      </c>
    </row>
    <row r="18" spans="1:9" ht="70.5" customHeight="1">
      <c r="A18" s="54" t="str" cm="1">
        <f t="array" aca="1" ref="A18" ca="1">IF(C$2="Your Name Here", "Enter your name in C2",INDIRECT("Sheet3!A"&amp;Random!I23))</f>
        <v>Enter your name in C2</v>
      </c>
      <c r="B18" s="45"/>
      <c r="C18" s="46"/>
      <c r="D18" s="47"/>
      <c r="E18" s="46"/>
      <c r="F18" s="48"/>
      <c r="G18" s="49"/>
      <c r="H18" s="50"/>
      <c r="I18" s="56" t="str">
        <f t="shared" si="0"/>
        <v>Your odds of winning are 1 to ???!</v>
      </c>
    </row>
    <row r="19" spans="1:9">
      <c r="A19" s="28"/>
      <c r="B19" s="28"/>
      <c r="C19" s="28"/>
      <c r="D19" s="28"/>
      <c r="E19" s="28"/>
      <c r="G19" s="3"/>
    </row>
    <row r="20" spans="1:9">
      <c r="A20" s="28"/>
      <c r="B20" s="28"/>
      <c r="C20" s="28"/>
      <c r="D20" s="28"/>
      <c r="E20" s="28"/>
      <c r="F20" s="12"/>
      <c r="G20"/>
      <c r="I20"/>
    </row>
    <row r="21" spans="1:9">
      <c r="A21" s="28"/>
      <c r="B21" s="28"/>
      <c r="C21" s="28"/>
      <c r="D21" s="28"/>
      <c r="E21" s="28"/>
      <c r="F21" s="12"/>
      <c r="G21"/>
      <c r="I21"/>
    </row>
    <row r="22" spans="1:9">
      <c r="A22" s="28"/>
      <c r="B22" s="28"/>
      <c r="C22" s="28"/>
      <c r="D22" s="28"/>
      <c r="E22" s="28"/>
      <c r="F22" s="12"/>
      <c r="G22"/>
      <c r="I22"/>
    </row>
    <row r="23" spans="1:9">
      <c r="A23" s="28"/>
      <c r="B23" s="28"/>
      <c r="C23" s="28"/>
      <c r="D23" s="28"/>
      <c r="E23" s="28"/>
      <c r="F23" s="12"/>
      <c r="G23"/>
      <c r="I23"/>
    </row>
    <row r="24" spans="1:9">
      <c r="A24" s="28"/>
      <c r="B24" s="28"/>
      <c r="C24" s="28"/>
      <c r="D24" s="28"/>
      <c r="E24" s="28"/>
      <c r="F24" s="12"/>
      <c r="G24"/>
      <c r="I24"/>
    </row>
    <row r="25" spans="1:9" ht="15.75" customHeight="1">
      <c r="A25" s="28"/>
      <c r="B25" s="28"/>
      <c r="C25" s="28"/>
      <c r="D25" s="28"/>
      <c r="E25" s="28"/>
      <c r="F25" s="12"/>
      <c r="G25"/>
      <c r="I25"/>
    </row>
    <row r="26" spans="1:9">
      <c r="A26" s="28"/>
      <c r="B26" s="28"/>
      <c r="C26" s="28"/>
      <c r="D26" s="28"/>
      <c r="E26" s="28"/>
      <c r="F26" s="12"/>
      <c r="G26"/>
      <c r="I26"/>
    </row>
    <row r="27" spans="1:9">
      <c r="A27" s="28"/>
      <c r="B27" s="28"/>
      <c r="C27" s="28"/>
      <c r="D27" s="28"/>
      <c r="E27" s="28"/>
      <c r="F27" s="12"/>
      <c r="G27"/>
      <c r="I27"/>
    </row>
    <row r="28" spans="1:9">
      <c r="A28" s="28"/>
      <c r="B28" s="28"/>
      <c r="C28" s="28"/>
      <c r="D28" s="28"/>
      <c r="E28" s="28"/>
      <c r="F28" s="12"/>
      <c r="G28"/>
      <c r="I28"/>
    </row>
    <row r="46" spans="2:2">
      <c r="B46" s="28" t="s">
        <v>34</v>
      </c>
    </row>
    <row r="47" spans="2:2">
      <c r="B47" s="28" t="s">
        <v>36</v>
      </c>
    </row>
  </sheetData>
  <sheetProtection algorithmName="SHA-512" hashValue="D4BTk7rpf94S4H2GN6Se0pFx6PDrg0BpRq1aaH5PbKv+I25zFFdBQ4CHL2poeIuS93NT/OBaOt7LegEZuqZMVg==" saltValue="eowzrkvLKBk6WLY98KMJJw==" spinCount="100000" sheet="1" objects="1" scenarios="1"/>
  <customSheetViews>
    <customSheetView guid="{13B6492D-170C-45E1-97D8-793CC53D410C}" showRuler="0" topLeftCell="B1">
      <selection activeCell="C3" sqref="C3"/>
      <pageMargins left="0" right="0" top="0" bottom="0" header="0" footer="0"/>
      <pageSetup orientation="portrait" horizontalDpi="1200" verticalDpi="1200" r:id="rId1"/>
    </customSheetView>
  </customSheetViews>
  <mergeCells count="2">
    <mergeCell ref="B4:C4"/>
    <mergeCell ref="A5:A7"/>
  </mergeCells>
  <conditionalFormatting sqref="B2">
    <cfRule type="expression" dxfId="4" priority="2">
      <formula>$C$2&lt;&gt;"Your Name Here"</formula>
    </cfRule>
  </conditionalFormatting>
  <dataValidations count="1">
    <dataValidation type="list" allowBlank="1" showErrorMessage="1" error="Make a selection" promptTitle="Choose" prompt="Permutation_x000a_Combination" sqref="B14:B18" xr:uid="{F1371D0C-4D6C-4564-8606-B5780CB0D4F2}">
      <formula1>$B$46:$B$47</formula1>
    </dataValidation>
  </dataValidations>
  <pageMargins left="0.7" right="0.7" top="0.75" bottom="0.75" header="0.3" footer="0.3"/>
  <pageSetup orientation="portrait" horizontalDpi="1200" verticalDpi="1200" r:id="rId2"/>
  <extLst>
    <ext xmlns:x14="http://schemas.microsoft.com/office/spreadsheetml/2009/9/main" uri="{78C0D931-6437-407d-A8EE-F0AAD7539E65}">
      <x14:conditionalFormattings>
        <x14:conditionalFormatting xmlns:xm="http://schemas.microsoft.com/office/excel/2006/main">
          <x14:cfRule type="expression" priority="5" id="{495C08AE-80E7-4948-9AA1-572EA21DB2FC}">
            <xm:f>B14&lt;&gt;soln1!B14</xm:f>
            <x14:dxf>
              <font>
                <b/>
                <i val="0"/>
                <color rgb="FFFF0000"/>
              </font>
            </x14:dxf>
          </x14:cfRule>
          <x14:cfRule type="expression" priority="6" id="{5DAB86F2-292A-45BF-AB02-5BA097126ADD}">
            <xm:f>B14=soln1!B14</xm:f>
            <x14:dxf>
              <font>
                <b/>
                <i val="0"/>
                <color rgb="FF00B050"/>
              </font>
            </x14:dxf>
          </x14:cfRule>
          <xm:sqref>B14:B18 D14:D18 F14:H18</xm:sqref>
        </x14:conditionalFormatting>
        <x14:conditionalFormatting xmlns:xm="http://schemas.microsoft.com/office/excel/2006/main">
          <x14:cfRule type="expression" priority="1" id="{6445A7F4-8A9E-4266-835B-8ADBCCAD9F8B}">
            <xm:f>Random!I19=6</xm:f>
            <x14:dxf>
              <fill>
                <patternFill>
                  <bgColor theme="7" tint="0.59996337778862885"/>
                </patternFill>
              </fill>
            </x14:dxf>
          </x14:cfRule>
          <xm:sqref>F14:F18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97F0-2451-47BE-A51B-12A3F1003A2C}">
  <dimension ref="A1:I47"/>
  <sheetViews>
    <sheetView showRuler="0" topLeftCell="C19" zoomScaleNormal="100" workbookViewId="0">
      <selection activeCell="G15" sqref="G15"/>
    </sheetView>
  </sheetViews>
  <sheetFormatPr defaultColWidth="11" defaultRowHeight="15.75"/>
  <cols>
    <col min="1" max="1" width="71.5" style="4" customWidth="1"/>
    <col min="2" max="2" width="21.875" style="4" customWidth="1"/>
    <col min="3" max="3" width="24.625" style="4" customWidth="1"/>
    <col min="4" max="4" width="18.75" style="4" customWidth="1"/>
    <col min="5" max="5" width="25.75" style="4" customWidth="1"/>
    <col min="6" max="6" width="18.75" style="1" customWidth="1"/>
    <col min="7" max="7" width="18.25" style="1" customWidth="1"/>
    <col min="8" max="8" width="15.75" customWidth="1"/>
    <col min="9" max="9" width="34.125" style="12" customWidth="1"/>
    <col min="10" max="10" width="20.875" customWidth="1"/>
    <col min="11" max="11" width="23.25" customWidth="1"/>
  </cols>
  <sheetData>
    <row r="1" spans="1:9" ht="16.5" thickBot="1">
      <c r="A1" s="28"/>
      <c r="B1" s="28"/>
      <c r="C1" s="28"/>
      <c r="D1" s="28"/>
      <c r="E1" s="28"/>
    </row>
    <row r="2" spans="1:9" ht="18" thickBot="1">
      <c r="A2" s="28"/>
      <c r="B2" s="23" t="s">
        <v>9</v>
      </c>
      <c r="C2" s="25" t="s">
        <v>37</v>
      </c>
      <c r="D2" s="28"/>
      <c r="E2" s="28"/>
    </row>
    <row r="3" spans="1:9" ht="16.5" thickBot="1">
      <c r="A3" s="28"/>
      <c r="B3" s="29"/>
      <c r="C3" s="28"/>
      <c r="D3" s="28"/>
      <c r="E3" s="28"/>
    </row>
    <row r="4" spans="1:9" ht="16.5" thickBot="1">
      <c r="A4" s="28"/>
      <c r="B4" s="74" t="s">
        <v>11</v>
      </c>
      <c r="C4" s="75"/>
      <c r="D4" s="28"/>
      <c r="E4" s="28"/>
    </row>
    <row r="5" spans="1:9" ht="16.5" thickBot="1">
      <c r="A5" s="76" t="s">
        <v>12</v>
      </c>
      <c r="B5" s="13" t="s">
        <v>13</v>
      </c>
      <c r="C5" s="14" t="s">
        <v>14</v>
      </c>
      <c r="D5" s="28"/>
      <c r="E5" s="28"/>
    </row>
    <row r="6" spans="1:9" ht="16.5" thickBot="1">
      <c r="A6" s="77"/>
      <c r="B6" s="15" t="s">
        <v>15</v>
      </c>
      <c r="C6" s="16" t="s">
        <v>16</v>
      </c>
      <c r="D6" s="28"/>
      <c r="E6" s="28"/>
      <c r="F6" s="24"/>
    </row>
    <row r="7" spans="1:9" ht="16.5" thickBot="1">
      <c r="A7" s="78"/>
      <c r="B7" s="17" t="s">
        <v>17</v>
      </c>
      <c r="C7" s="18" t="s">
        <v>18</v>
      </c>
      <c r="D7" s="28"/>
      <c r="E7" s="28"/>
    </row>
    <row r="8" spans="1:9">
      <c r="A8" s="28"/>
      <c r="B8" s="19" t="s">
        <v>19</v>
      </c>
      <c r="C8" s="18" t="s">
        <v>20</v>
      </c>
      <c r="D8" s="28"/>
      <c r="E8" s="28"/>
    </row>
    <row r="9" spans="1:9">
      <c r="A9" s="28"/>
      <c r="B9" s="20" t="s">
        <v>21</v>
      </c>
      <c r="C9" s="18" t="s">
        <v>22</v>
      </c>
      <c r="D9" s="28"/>
      <c r="E9" s="28"/>
    </row>
    <row r="10" spans="1:9" ht="16.5" thickBot="1">
      <c r="A10" s="28"/>
      <c r="B10" s="21" t="s">
        <v>23</v>
      </c>
      <c r="C10" s="22" t="s">
        <v>24</v>
      </c>
      <c r="D10" s="28"/>
      <c r="E10" s="28"/>
    </row>
    <row r="12" spans="1:9" s="2" customFormat="1" ht="63">
      <c r="A12" s="5" t="s">
        <v>25</v>
      </c>
      <c r="B12" s="5" t="s">
        <v>26</v>
      </c>
      <c r="C12" s="5" t="s">
        <v>27</v>
      </c>
      <c r="D12" s="5" t="s">
        <v>28</v>
      </c>
      <c r="E12" s="5" t="s">
        <v>29</v>
      </c>
      <c r="F12" s="6" t="s">
        <v>30</v>
      </c>
      <c r="G12" s="6" t="s">
        <v>31</v>
      </c>
      <c r="H12" s="6" t="s">
        <v>32</v>
      </c>
      <c r="I12" s="6" t="s">
        <v>33</v>
      </c>
    </row>
    <row r="13" spans="1:9" ht="70.5" customHeight="1">
      <c r="A13" s="30" t="str">
        <f ca="1">Sheet3!A1</f>
        <v>35 horses ran in the Kentucky Derby.  The Exacta bet involves picking the first two finishers in order.  Determine the number of outcomes for two horses finishing in the first two spots and the probability of winning the Exacta bet if you pick the horses at random.</v>
      </c>
      <c r="B13" s="31" t="s">
        <v>34</v>
      </c>
      <c r="C13" s="31" t="str">
        <f ca="1">"Pick any 2 out of "&amp;Random!H19&amp;" horses, where the order of selection matters."</f>
        <v>Pick any 2 out of 35 horses, where the order of selection matters.</v>
      </c>
      <c r="D13" s="32">
        <f ca="1">PERMUT(Random!H19,2)</f>
        <v>1190</v>
      </c>
      <c r="E13" s="31" t="s">
        <v>35</v>
      </c>
      <c r="F13" s="26">
        <v>1</v>
      </c>
      <c r="G13" s="27">
        <f ca="1">F13/D13</f>
        <v>8.4033613445378156E-4</v>
      </c>
      <c r="H13" s="26">
        <f ca="1">(1-G13)/G13</f>
        <v>1189</v>
      </c>
      <c r="I13" s="6" t="str">
        <f ca="1">"Your odds of winning are "&amp;H13&amp;" to 1!"</f>
        <v>Your odds of winning are 1189 to 1!</v>
      </c>
    </row>
    <row r="14" spans="1:9" ht="70.5" customHeight="1">
      <c r="A14" s="30" t="str" cm="1">
        <f t="array" aca="1" ref="A14" ca="1">INDIRECT("Sheet3!A"&amp;Random!I19)</f>
        <v>35 horses ran in the Kentucky Derby.  The Trifecta bet involves picking the first three finishers in order.  Determine the number of outcomes for three horses finishing in the first three spots and the probability of winning the Trifecta bet if you pick the horses at random.</v>
      </c>
      <c r="B14" s="33" t="str" cm="1">
        <f t="array" aca="1" ref="B14" ca="1">INDIRECT("Sheet3!B"&amp;Random!I19)</f>
        <v>permutation</v>
      </c>
      <c r="C14" s="35"/>
      <c r="D14" s="34" cm="1">
        <f t="array" aca="1" ref="D14" ca="1">INDIRECT("Sheet3!C"&amp;Random!I19)</f>
        <v>39270</v>
      </c>
      <c r="E14" s="35"/>
      <c r="F14" s="9" cm="1">
        <f t="array" aca="1" ref="F14" ca="1">INDIRECT("Sheet3!D"&amp;Random!I19)</f>
        <v>1</v>
      </c>
      <c r="G14" s="10" cm="1">
        <f t="array" aca="1" ref="G14" ca="1">INDIRECT("Sheet3!E"&amp;Random!I19)</f>
        <v>2.5464731347084288E-5</v>
      </c>
      <c r="H14" s="8" cm="1">
        <f t="array" aca="1" ref="H14" ca="1">INDIRECT("Sheet3!F"&amp;Random!I19)</f>
        <v>39269</v>
      </c>
      <c r="I14" s="6" t="str">
        <f ca="1">"Your odds of winning are "&amp;IF(NOT(ISBLANK(H14)),ROUND(H14,0),"???")&amp;" to 1!"</f>
        <v>Your odds of winning are 39269 to 1!</v>
      </c>
    </row>
    <row r="15" spans="1:9" ht="70.5" customHeight="1">
      <c r="A15" s="30" t="str" cm="1">
        <f t="array" aca="1" ref="A15" ca="1">INDIRECT("Sheet3!A"&amp;Random!I20)</f>
        <v>35  horses ran in the Kentucky Derby.  The Superfecta bet involves picking the first four finishers in order.  Determine the number of outcomes for four horses finishing in the first four spots and the probability of winning the Superfecta bet if you pick the horses at random.</v>
      </c>
      <c r="B15" s="33" t="str" cm="1">
        <f t="array" aca="1" ref="B15" ca="1">INDIRECT("Sheet3!B"&amp;Random!I20)</f>
        <v>permutation</v>
      </c>
      <c r="C15" s="35"/>
      <c r="D15" s="34" cm="1">
        <f t="array" aca="1" ref="D15" ca="1">INDIRECT("Sheet3!C"&amp;Random!I20)</f>
        <v>1256640</v>
      </c>
      <c r="E15" s="35"/>
      <c r="F15" s="9" cm="1">
        <f t="array" aca="1" ref="F15" ca="1">INDIRECT("Sheet3!D"&amp;Random!I20)</f>
        <v>1</v>
      </c>
      <c r="G15" s="10" cm="1">
        <f t="array" aca="1" ref="G15" ca="1">INDIRECT("Sheet3!E"&amp;Random!I20)</f>
        <v>7.95772854596384E-7</v>
      </c>
      <c r="H15" s="8" cm="1">
        <f t="array" aca="1" ref="H15" ca="1">INDIRECT("Sheet3!F"&amp;Random!I20)</f>
        <v>1256639</v>
      </c>
      <c r="I15" s="6" t="str">
        <f t="shared" ref="I15:I18" ca="1" si="0">"Your odds of winning are "&amp;IF(NOT(ISBLANK(H15)),ROUND(H15,0),"???")&amp;" to 1!"</f>
        <v>Your odds of winning are 1256639 to 1!</v>
      </c>
    </row>
    <row r="16" spans="1:9" ht="70.5" customHeight="1">
      <c r="A16" s="30" t="str" cm="1">
        <f t="array" aca="1" ref="A16" ca="1">INDIRECT("Sheet3!A"&amp;Random!I21)</f>
        <v>In a lottery game, 40 numbered ping-pong balls are put in a bin, and 4 are randomly chosen. To win the jackpot, you need to match all 4 numbers in the order in which they were drawn.  Determine the number of outcomes for picking 4 different numbers in order from the 40 ping-pong balls and the probability of you picking the correct numbers in order.</v>
      </c>
      <c r="B16" s="33" t="str" cm="1">
        <f t="array" aca="1" ref="B16" ca="1">INDIRECT("Sheet3!B"&amp;Random!I21)</f>
        <v>permutation</v>
      </c>
      <c r="C16" s="7"/>
      <c r="D16" s="34" cm="1">
        <f t="array" aca="1" ref="D16" ca="1">INDIRECT("Sheet3!C"&amp;Random!I21)</f>
        <v>2193360</v>
      </c>
      <c r="E16" s="7"/>
      <c r="F16" s="9" cm="1">
        <f t="array" aca="1" ref="F16" ca="1">INDIRECT("Sheet3!D"&amp;Random!I21)</f>
        <v>1</v>
      </c>
      <c r="G16" s="10" cm="1">
        <f t="array" aca="1" ref="G16" ca="1">INDIRECT("Sheet3!E"&amp;Random!I21)</f>
        <v>4.5592150855308751E-7</v>
      </c>
      <c r="H16" s="8" cm="1">
        <f t="array" aca="1" ref="H16" ca="1">INDIRECT("Sheet3!F"&amp;Random!I21)</f>
        <v>2193359</v>
      </c>
      <c r="I16" s="6" t="str">
        <f t="shared" ca="1" si="0"/>
        <v>Your odds of winning are 2193359 to 1!</v>
      </c>
    </row>
    <row r="17" spans="1:9" ht="70.5" customHeight="1">
      <c r="A17" s="30" t="str" cm="1">
        <f t="array" aca="1" ref="A17" ca="1">INDIRECT("Sheet3!A"&amp;Random!I22)</f>
        <v>In a lottery game, 50 numbered ping-pong balls are put in a bin, and 5 are randomly chosen. To win the jackpot, you need to match all 5 numbers.  Determine the number of outcomes for picking 5 different numbers from the 50 ping-pong balls and the probability of you picking the correct numbers.</v>
      </c>
      <c r="B17" s="33" t="str" cm="1">
        <f t="array" aca="1" ref="B17" ca="1">INDIRECT("Sheet3!B"&amp;Random!I22)</f>
        <v>combination</v>
      </c>
      <c r="C17" s="7"/>
      <c r="D17" s="34" cm="1">
        <f t="array" aca="1" ref="D17" ca="1">INDIRECT("Sheet3!C"&amp;Random!I22)</f>
        <v>2118760</v>
      </c>
      <c r="E17" s="7"/>
      <c r="F17" s="9" cm="1">
        <f t="array" aca="1" ref="F17" ca="1">INDIRECT("Sheet3!D"&amp;Random!I22)</f>
        <v>1</v>
      </c>
      <c r="G17" s="10" cm="1">
        <f t="array" aca="1" ref="G17" ca="1">INDIRECT("Sheet3!E"&amp;Random!I22)</f>
        <v>4.7197417357322209E-7</v>
      </c>
      <c r="H17" s="8" cm="1">
        <f t="array" aca="1" ref="H17" ca="1">INDIRECT("Sheet3!F"&amp;Random!I22)</f>
        <v>2118759</v>
      </c>
      <c r="I17" s="6" t="str">
        <f t="shared" ca="1" si="0"/>
        <v>Your odds of winning are 2118759 to 1!</v>
      </c>
    </row>
    <row r="18" spans="1:9" ht="70.5" customHeight="1">
      <c r="A18" s="30" t="str" cm="1">
        <f t="array" aca="1" ref="A18" ca="1">INDIRECT("Sheet3!A"&amp;Random!I23)</f>
        <v>In a lottery game, 50 numbered ping-pong balls are put in a bin, and 5 are randomly chosen. You’ll get twice your money back if you match exactly three of the five numbers.  Still using the same number of outcomes as the game above (choosing 5 different ping-pong balls from the 50), determine the probability of matching three out of five numbers.</v>
      </c>
      <c r="B18" s="33" t="str" cm="1">
        <f t="array" aca="1" ref="B18" ca="1">INDIRECT("Sheet3!B"&amp;Random!I23)</f>
        <v>combination</v>
      </c>
      <c r="C18" s="35"/>
      <c r="D18" s="34" cm="1">
        <f t="array" aca="1" ref="D18" ca="1">INDIRECT("Sheet3!C"&amp;Random!I23)</f>
        <v>2118760</v>
      </c>
      <c r="E18" s="35"/>
      <c r="F18" s="9" cm="1">
        <f t="array" aca="1" ref="F18" ca="1">INDIRECT("Sheet3!D"&amp;Random!I23)</f>
        <v>9900</v>
      </c>
      <c r="G18" s="10" cm="1">
        <f t="array" aca="1" ref="G18" ca="1">INDIRECT("Sheet3!E"&amp;Random!I23)</f>
        <v>4.6725443183748983E-3</v>
      </c>
      <c r="H18" s="8" cm="1">
        <f t="array" aca="1" ref="H18" ca="1">INDIRECT("Sheet3!F"&amp;Random!I23)</f>
        <v>213.01616161616161</v>
      </c>
      <c r="I18" s="6" t="str">
        <f t="shared" ca="1" si="0"/>
        <v>Your odds of winning are 213 to 1!</v>
      </c>
    </row>
    <row r="19" spans="1:9">
      <c r="A19" s="28"/>
      <c r="B19" s="28"/>
      <c r="C19" s="28"/>
      <c r="D19" s="28"/>
      <c r="E19" s="28"/>
      <c r="G19" s="3"/>
    </row>
    <row r="20" spans="1:9">
      <c r="A20" s="28"/>
      <c r="B20" s="28"/>
      <c r="C20" s="28"/>
      <c r="D20" s="28"/>
      <c r="E20" s="28"/>
      <c r="F20" s="12"/>
      <c r="G20"/>
      <c r="I20"/>
    </row>
    <row r="21" spans="1:9">
      <c r="A21" s="28"/>
      <c r="B21" s="28"/>
      <c r="C21" s="28"/>
      <c r="D21" s="28"/>
      <c r="E21" s="28"/>
      <c r="F21" s="12"/>
      <c r="G21"/>
      <c r="I21"/>
    </row>
    <row r="22" spans="1:9">
      <c r="A22" s="28"/>
      <c r="B22" s="28"/>
      <c r="C22" s="28"/>
      <c r="D22" s="28"/>
      <c r="E22" s="28"/>
      <c r="F22" s="12"/>
      <c r="G22"/>
      <c r="I22"/>
    </row>
    <row r="23" spans="1:9">
      <c r="A23" s="28"/>
      <c r="B23" s="28"/>
      <c r="C23" s="28"/>
      <c r="D23" s="28"/>
      <c r="E23" s="28"/>
      <c r="F23" s="12"/>
      <c r="G23"/>
      <c r="I23"/>
    </row>
    <row r="24" spans="1:9">
      <c r="A24" s="28"/>
      <c r="B24" s="28"/>
      <c r="C24" s="28"/>
      <c r="D24" s="28"/>
      <c r="E24" s="28"/>
      <c r="F24" s="12"/>
      <c r="G24"/>
      <c r="I24"/>
    </row>
    <row r="25" spans="1:9" ht="15.75" customHeight="1">
      <c r="A25" s="28"/>
      <c r="B25" s="28"/>
      <c r="C25" s="28"/>
      <c r="D25" s="28"/>
      <c r="E25" s="28"/>
      <c r="F25" s="12"/>
      <c r="G25"/>
      <c r="I25"/>
    </row>
    <row r="26" spans="1:9">
      <c r="A26" s="28"/>
      <c r="B26" s="28"/>
      <c r="C26" s="28"/>
      <c r="D26" s="28"/>
      <c r="E26" s="28"/>
      <c r="F26" s="12"/>
      <c r="G26"/>
      <c r="I26"/>
    </row>
    <row r="27" spans="1:9">
      <c r="A27" s="28"/>
      <c r="B27" s="28"/>
      <c r="C27" s="28"/>
      <c r="D27" s="28"/>
      <c r="E27" s="28"/>
      <c r="F27" s="12"/>
      <c r="G27"/>
      <c r="I27"/>
    </row>
    <row r="28" spans="1:9">
      <c r="A28" s="28"/>
      <c r="B28" s="28"/>
      <c r="C28" s="28"/>
      <c r="D28" s="28"/>
      <c r="E28" s="28"/>
      <c r="F28" s="12"/>
      <c r="G28"/>
      <c r="I28"/>
    </row>
    <row r="46" spans="2:2">
      <c r="B46" s="28" t="s">
        <v>34</v>
      </c>
    </row>
    <row r="47" spans="2:2">
      <c r="B47" s="28" t="s">
        <v>36</v>
      </c>
    </row>
  </sheetData>
  <customSheetViews>
    <customSheetView guid="{13B6492D-170C-45E1-97D8-793CC53D410C}" state="hidden" showRuler="0" topLeftCell="B7">
      <selection activeCell="C11" sqref="C11:C15"/>
      <pageMargins left="0" right="0" top="0" bottom="0" header="0" footer="0"/>
      <pageSetup orientation="portrait" horizontalDpi="1200" verticalDpi="1200" r:id="rId1"/>
    </customSheetView>
  </customSheetViews>
  <mergeCells count="2">
    <mergeCell ref="B4:C4"/>
    <mergeCell ref="A5:A7"/>
  </mergeCells>
  <conditionalFormatting sqref="B2">
    <cfRule type="expression" dxfId="0" priority="1">
      <formula>$C$2&lt;&gt;"Your Name Here"</formula>
    </cfRule>
  </conditionalFormatting>
  <dataValidations count="1">
    <dataValidation type="list" allowBlank="1" showErrorMessage="1" error="Make a selection" promptTitle="Choose" prompt="Permutation_x000a_Combination" sqref="B14:B18" xr:uid="{C5D033E7-1677-4E67-92D7-8C5E292E70F9}">
      <formula1>$B$46:$B$47</formula1>
    </dataValidation>
  </dataValidation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FDD7-AE6B-4532-BBBB-506CEF972D40}">
  <dimension ref="A1:W55"/>
  <sheetViews>
    <sheetView workbookViewId="0">
      <selection activeCell="F89" sqref="F88:F89"/>
    </sheetView>
  </sheetViews>
  <sheetFormatPr defaultRowHeight="15.75"/>
  <cols>
    <col min="1" max="4" width="9.125" style="40" bestFit="1" customWidth="1"/>
    <col min="5" max="5" width="10" style="40" bestFit="1" customWidth="1"/>
    <col min="6" max="6" width="10.875" style="40" bestFit="1" customWidth="1"/>
    <col min="7" max="7" width="9.125" style="40" bestFit="1" customWidth="1"/>
    <col min="8" max="8" width="10.5" style="40" bestFit="1" customWidth="1"/>
    <col min="9" max="9" width="10.375" style="40" bestFit="1" customWidth="1"/>
    <col min="10" max="23" width="9.125" style="40" bestFit="1" customWidth="1"/>
    <col min="24" max="16384" width="9" style="40"/>
  </cols>
  <sheetData>
    <row r="1" spans="1:23">
      <c r="H1" s="40">
        <v>1</v>
      </c>
      <c r="I1" s="40">
        <v>2</v>
      </c>
      <c r="J1" s="40">
        <v>3</v>
      </c>
      <c r="K1" s="40">
        <v>4</v>
      </c>
      <c r="L1" s="40">
        <v>5</v>
      </c>
      <c r="M1" s="40">
        <v>6</v>
      </c>
      <c r="N1" s="40">
        <v>7</v>
      </c>
      <c r="O1" s="40">
        <v>8</v>
      </c>
      <c r="P1" s="40">
        <v>9</v>
      </c>
      <c r="Q1" s="40">
        <v>10</v>
      </c>
      <c r="R1" s="40">
        <v>11</v>
      </c>
      <c r="S1" s="40">
        <v>12</v>
      </c>
      <c r="T1" s="40">
        <v>13</v>
      </c>
      <c r="U1" s="40">
        <v>14</v>
      </c>
      <c r="V1" s="40">
        <v>15</v>
      </c>
      <c r="W1" s="40">
        <v>16</v>
      </c>
    </row>
    <row r="2" spans="1:23">
      <c r="G2" s="40">
        <v>1</v>
      </c>
      <c r="H2" s="40">
        <v>2</v>
      </c>
      <c r="I2" s="40">
        <v>3</v>
      </c>
      <c r="J2" s="40">
        <v>5</v>
      </c>
      <c r="K2" s="40">
        <v>7</v>
      </c>
      <c r="L2" s="40">
        <v>11</v>
      </c>
      <c r="M2" s="40">
        <v>13</v>
      </c>
      <c r="N2" s="40">
        <v>17</v>
      </c>
      <c r="O2" s="40">
        <v>19</v>
      </c>
      <c r="P2" s="40">
        <v>23</v>
      </c>
      <c r="Q2" s="40">
        <v>29</v>
      </c>
      <c r="R2" s="40">
        <v>947</v>
      </c>
      <c r="S2" s="40">
        <v>953</v>
      </c>
      <c r="T2" s="40">
        <v>967</v>
      </c>
      <c r="U2" s="40">
        <v>971</v>
      </c>
      <c r="V2" s="40">
        <v>977</v>
      </c>
      <c r="W2" s="40">
        <v>983</v>
      </c>
    </row>
    <row r="3" spans="1:23">
      <c r="G3" s="40">
        <v>2</v>
      </c>
      <c r="H3" s="40">
        <v>31</v>
      </c>
      <c r="I3" s="40">
        <v>37</v>
      </c>
      <c r="J3" s="40">
        <v>41</v>
      </c>
      <c r="K3" s="40">
        <v>43</v>
      </c>
      <c r="L3" s="40">
        <v>47</v>
      </c>
      <c r="M3" s="40">
        <v>53</v>
      </c>
      <c r="N3" s="40">
        <v>59</v>
      </c>
      <c r="O3" s="40">
        <v>61</v>
      </c>
      <c r="P3" s="40">
        <v>67</v>
      </c>
      <c r="Q3" s="40">
        <v>71</v>
      </c>
      <c r="R3" s="40">
        <v>991</v>
      </c>
      <c r="S3" s="40">
        <v>997</v>
      </c>
      <c r="T3" s="40">
        <v>1009</v>
      </c>
      <c r="U3" s="40">
        <v>1013</v>
      </c>
      <c r="V3" s="40">
        <v>1019</v>
      </c>
      <c r="W3" s="40">
        <v>1021</v>
      </c>
    </row>
    <row r="4" spans="1:23">
      <c r="G4" s="40">
        <v>3</v>
      </c>
      <c r="H4" s="40">
        <v>73</v>
      </c>
      <c r="I4" s="40">
        <v>79</v>
      </c>
      <c r="J4" s="40">
        <v>83</v>
      </c>
      <c r="K4" s="40">
        <v>89</v>
      </c>
      <c r="L4" s="40">
        <v>97</v>
      </c>
      <c r="M4" s="40">
        <v>101</v>
      </c>
      <c r="N4" s="40">
        <v>103</v>
      </c>
      <c r="O4" s="40">
        <v>107</v>
      </c>
      <c r="P4" s="40">
        <v>109</v>
      </c>
      <c r="Q4" s="40">
        <v>113</v>
      </c>
      <c r="R4" s="40">
        <v>1031</v>
      </c>
      <c r="S4" s="40">
        <v>1033</v>
      </c>
      <c r="T4" s="40">
        <v>1039</v>
      </c>
      <c r="U4" s="40">
        <v>1049</v>
      </c>
      <c r="V4" s="40">
        <v>1051</v>
      </c>
      <c r="W4" s="40">
        <v>1061</v>
      </c>
    </row>
    <row r="5" spans="1:23">
      <c r="G5" s="40">
        <v>4</v>
      </c>
      <c r="H5" s="40">
        <v>127</v>
      </c>
      <c r="I5" s="40">
        <v>131</v>
      </c>
      <c r="J5" s="40">
        <v>137</v>
      </c>
      <c r="K5" s="40">
        <v>139</v>
      </c>
      <c r="L5" s="40">
        <v>149</v>
      </c>
      <c r="M5" s="40">
        <v>151</v>
      </c>
      <c r="N5" s="40">
        <v>157</v>
      </c>
      <c r="O5" s="40">
        <v>163</v>
      </c>
      <c r="P5" s="40">
        <v>167</v>
      </c>
      <c r="Q5" s="40">
        <v>173</v>
      </c>
      <c r="R5" s="40">
        <v>1993</v>
      </c>
      <c r="S5" s="40">
        <v>1997</v>
      </c>
      <c r="T5" s="40">
        <v>1999</v>
      </c>
      <c r="U5" s="40">
        <v>2003</v>
      </c>
      <c r="V5" s="40">
        <v>2011</v>
      </c>
      <c r="W5" s="40">
        <v>2017</v>
      </c>
    </row>
    <row r="6" spans="1:23">
      <c r="A6" s="40">
        <v>1</v>
      </c>
      <c r="B6" s="40">
        <f>CODE(MID(Games!C$2,A6,1))</f>
        <v>89</v>
      </c>
      <c r="C6" s="40">
        <f>MOD(B6,16)</f>
        <v>9</v>
      </c>
      <c r="D6" s="40">
        <f>MOD((B6-C6)/16,16)</f>
        <v>5</v>
      </c>
      <c r="E6" s="40">
        <f ca="1">INDIRECT("R"&amp;(C6+1)&amp;"C"&amp;(D6+7),0)</f>
        <v>439</v>
      </c>
      <c r="G6" s="40">
        <v>5</v>
      </c>
      <c r="H6" s="40">
        <v>179</v>
      </c>
      <c r="I6" s="40">
        <v>181</v>
      </c>
      <c r="J6" s="40">
        <v>191</v>
      </c>
      <c r="K6" s="40">
        <v>193</v>
      </c>
      <c r="L6" s="40">
        <v>197</v>
      </c>
      <c r="M6" s="40">
        <v>199</v>
      </c>
      <c r="N6" s="40">
        <v>211</v>
      </c>
      <c r="O6" s="40">
        <v>223</v>
      </c>
      <c r="P6" s="40">
        <v>227</v>
      </c>
      <c r="Q6" s="40">
        <v>229</v>
      </c>
      <c r="R6" s="40">
        <v>2063</v>
      </c>
      <c r="S6" s="40">
        <v>2069</v>
      </c>
      <c r="T6" s="40">
        <v>2081</v>
      </c>
      <c r="U6" s="40">
        <v>2083</v>
      </c>
      <c r="V6" s="40">
        <v>2087</v>
      </c>
      <c r="W6" s="40">
        <v>2089</v>
      </c>
    </row>
    <row r="7" spans="1:23">
      <c r="A7" s="40">
        <v>2</v>
      </c>
      <c r="B7" s="40">
        <f>CODE(MID(Games!C$2,A7,1))</f>
        <v>111</v>
      </c>
      <c r="C7" s="40">
        <f t="shared" ref="C7:C10" si="0">MOD(B7,16)</f>
        <v>15</v>
      </c>
      <c r="D7" s="40">
        <f t="shared" ref="D7:D10" si="1">MOD((B7-C7)/16,16)</f>
        <v>6</v>
      </c>
      <c r="E7" s="40">
        <f t="shared" ref="E7:E10" ca="1" si="2">INDIRECT("R"&amp;(C7+1)&amp;"C"&amp;(D7+7),0)</f>
        <v>839</v>
      </c>
      <c r="G7" s="40">
        <v>6</v>
      </c>
      <c r="H7" s="40">
        <v>233</v>
      </c>
      <c r="I7" s="40">
        <v>239</v>
      </c>
      <c r="J7" s="40">
        <v>241</v>
      </c>
      <c r="K7" s="40">
        <v>251</v>
      </c>
      <c r="L7" s="40">
        <v>257</v>
      </c>
      <c r="M7" s="40">
        <v>263</v>
      </c>
      <c r="N7" s="40">
        <v>269</v>
      </c>
      <c r="O7" s="40">
        <v>271</v>
      </c>
      <c r="P7" s="40">
        <v>277</v>
      </c>
      <c r="Q7" s="40">
        <v>281</v>
      </c>
      <c r="R7" s="40">
        <v>2131</v>
      </c>
      <c r="S7" s="40">
        <v>2137</v>
      </c>
      <c r="T7" s="40">
        <v>2141</v>
      </c>
      <c r="U7" s="40">
        <v>2143</v>
      </c>
      <c r="V7" s="40">
        <v>2153</v>
      </c>
      <c r="W7" s="40">
        <v>2161</v>
      </c>
    </row>
    <row r="8" spans="1:23">
      <c r="A8" s="40">
        <v>3</v>
      </c>
      <c r="B8" s="40">
        <f>CODE(MID(Games!C$2,A8,1))</f>
        <v>117</v>
      </c>
      <c r="C8" s="40">
        <f t="shared" si="0"/>
        <v>5</v>
      </c>
      <c r="D8" s="40">
        <f t="shared" si="1"/>
        <v>7</v>
      </c>
      <c r="E8" s="40">
        <f t="shared" ca="1" si="2"/>
        <v>211</v>
      </c>
      <c r="G8" s="40">
        <v>7</v>
      </c>
      <c r="H8" s="40">
        <v>283</v>
      </c>
      <c r="I8" s="40">
        <v>293</v>
      </c>
      <c r="J8" s="40">
        <v>307</v>
      </c>
      <c r="K8" s="40">
        <v>311</v>
      </c>
      <c r="L8" s="40">
        <v>313</v>
      </c>
      <c r="M8" s="40">
        <v>317</v>
      </c>
      <c r="N8" s="40">
        <v>331</v>
      </c>
      <c r="O8" s="40">
        <v>337</v>
      </c>
      <c r="P8" s="40">
        <v>347</v>
      </c>
      <c r="Q8" s="40">
        <v>349</v>
      </c>
      <c r="R8" s="40">
        <v>2221</v>
      </c>
      <c r="S8" s="40">
        <v>2237</v>
      </c>
      <c r="T8" s="40">
        <v>2239</v>
      </c>
      <c r="U8" s="40">
        <v>2243</v>
      </c>
      <c r="V8" s="40">
        <v>2251</v>
      </c>
      <c r="W8" s="40">
        <v>2267</v>
      </c>
    </row>
    <row r="9" spans="1:23">
      <c r="A9" s="40">
        <v>4</v>
      </c>
      <c r="B9" s="40">
        <f>CODE(MID(Games!C$2,A9,1))</f>
        <v>114</v>
      </c>
      <c r="C9" s="40">
        <f t="shared" si="0"/>
        <v>2</v>
      </c>
      <c r="D9" s="40">
        <f t="shared" si="1"/>
        <v>7</v>
      </c>
      <c r="E9" s="40">
        <f t="shared" ca="1" si="2"/>
        <v>59</v>
      </c>
      <c r="G9" s="40">
        <v>8</v>
      </c>
      <c r="H9" s="40">
        <v>353</v>
      </c>
      <c r="I9" s="40">
        <v>359</v>
      </c>
      <c r="J9" s="40">
        <v>367</v>
      </c>
      <c r="K9" s="40">
        <v>373</v>
      </c>
      <c r="L9" s="40">
        <v>379</v>
      </c>
      <c r="M9" s="40">
        <v>383</v>
      </c>
      <c r="N9" s="40">
        <v>389</v>
      </c>
      <c r="O9" s="40">
        <v>397</v>
      </c>
      <c r="P9" s="40">
        <v>401</v>
      </c>
      <c r="Q9" s="40">
        <v>409</v>
      </c>
      <c r="R9" s="40">
        <v>2293</v>
      </c>
      <c r="S9" s="40">
        <v>2297</v>
      </c>
      <c r="T9" s="40">
        <v>2309</v>
      </c>
      <c r="U9" s="40">
        <v>2311</v>
      </c>
      <c r="V9" s="40">
        <v>2333</v>
      </c>
      <c r="W9" s="40">
        <v>2339</v>
      </c>
    </row>
    <row r="10" spans="1:23">
      <c r="A10" s="40">
        <v>5</v>
      </c>
      <c r="B10" s="40">
        <f>CODE(MID(Games!C$2,A10,1))</f>
        <v>32</v>
      </c>
      <c r="C10" s="40">
        <f t="shared" si="0"/>
        <v>0</v>
      </c>
      <c r="D10" s="40">
        <f t="shared" si="1"/>
        <v>2</v>
      </c>
      <c r="E10" s="40">
        <f t="shared" ca="1" si="2"/>
        <v>2</v>
      </c>
      <c r="G10" s="40">
        <v>9</v>
      </c>
      <c r="H10" s="40">
        <v>419</v>
      </c>
      <c r="I10" s="40">
        <v>421</v>
      </c>
      <c r="J10" s="40">
        <v>431</v>
      </c>
      <c r="K10" s="40">
        <v>433</v>
      </c>
      <c r="L10" s="40">
        <v>439</v>
      </c>
      <c r="M10" s="40">
        <v>443</v>
      </c>
      <c r="N10" s="40">
        <v>449</v>
      </c>
      <c r="O10" s="40">
        <v>457</v>
      </c>
      <c r="P10" s="40">
        <v>461</v>
      </c>
      <c r="Q10" s="40">
        <v>463</v>
      </c>
      <c r="R10" s="40">
        <v>2371</v>
      </c>
      <c r="S10" s="40">
        <v>2377</v>
      </c>
      <c r="T10" s="40">
        <v>2381</v>
      </c>
      <c r="U10" s="40">
        <v>2383</v>
      </c>
      <c r="V10" s="40">
        <v>2389</v>
      </c>
      <c r="W10" s="40">
        <v>2393</v>
      </c>
    </row>
    <row r="11" spans="1:23">
      <c r="A11" s="40" t="s">
        <v>38</v>
      </c>
      <c r="B11" s="40">
        <f ca="1">MOD(PRODUCT(E6:E10),F13)</f>
        <v>3778</v>
      </c>
      <c r="F11" s="40">
        <v>1103515245</v>
      </c>
      <c r="G11" s="40">
        <v>10</v>
      </c>
      <c r="H11" s="40">
        <v>467</v>
      </c>
      <c r="I11" s="40">
        <v>479</v>
      </c>
      <c r="J11" s="40">
        <v>487</v>
      </c>
      <c r="K11" s="40">
        <v>491</v>
      </c>
      <c r="L11" s="40">
        <v>499</v>
      </c>
      <c r="M11" s="40">
        <v>503</v>
      </c>
      <c r="N11" s="40">
        <v>509</v>
      </c>
      <c r="O11" s="40">
        <v>521</v>
      </c>
      <c r="P11" s="40">
        <v>523</v>
      </c>
      <c r="Q11" s="40">
        <v>541</v>
      </c>
      <c r="R11" s="40">
        <v>2437</v>
      </c>
      <c r="S11" s="40">
        <v>2441</v>
      </c>
      <c r="T11" s="40">
        <v>2447</v>
      </c>
      <c r="U11" s="40">
        <v>2459</v>
      </c>
      <c r="V11" s="40">
        <v>2467</v>
      </c>
      <c r="W11" s="40">
        <v>2473</v>
      </c>
    </row>
    <row r="12" spans="1:23">
      <c r="A12" s="40" t="s">
        <v>39</v>
      </c>
      <c r="B12" s="40">
        <f ca="1">MOD(B11*F11+F12,F13)</f>
        <v>5331</v>
      </c>
      <c r="C12" s="40">
        <f ca="1">MOD(B12,2)</f>
        <v>1</v>
      </c>
      <c r="D12" s="40">
        <f ca="1">B12/F$13</f>
        <v>0.162689208984375</v>
      </c>
      <c r="E12" s="40">
        <f ca="1">IF(D12&lt;0.25,0,IF(D12&lt;0.5,1,IF(D12&lt;0.75,3,4)))</f>
        <v>0</v>
      </c>
      <c r="F12" s="40">
        <v>12345</v>
      </c>
      <c r="G12" s="40">
        <v>11</v>
      </c>
      <c r="H12" s="40">
        <v>547</v>
      </c>
      <c r="I12" s="40">
        <v>557</v>
      </c>
      <c r="J12" s="40">
        <v>563</v>
      </c>
      <c r="K12" s="40">
        <v>569</v>
      </c>
      <c r="L12" s="40">
        <v>571</v>
      </c>
      <c r="M12" s="40">
        <v>577</v>
      </c>
      <c r="N12" s="40">
        <v>587</v>
      </c>
      <c r="O12" s="40">
        <v>593</v>
      </c>
      <c r="P12" s="40">
        <v>599</v>
      </c>
      <c r="Q12" s="40">
        <v>601</v>
      </c>
      <c r="R12" s="40">
        <v>2539</v>
      </c>
      <c r="S12" s="40">
        <v>2543</v>
      </c>
      <c r="T12" s="40">
        <v>2549</v>
      </c>
      <c r="U12" s="40">
        <v>2551</v>
      </c>
      <c r="V12" s="40">
        <v>2557</v>
      </c>
      <c r="W12" s="40">
        <v>2579</v>
      </c>
    </row>
    <row r="13" spans="1:23">
      <c r="A13" s="40" t="s">
        <v>40</v>
      </c>
      <c r="B13" s="41">
        <f t="shared" ref="B13:B55" ca="1" si="3">MOD(B12*F$11+F$12,F$13)</f>
        <v>22544</v>
      </c>
      <c r="C13" s="40">
        <f t="shared" ref="C13:C55" ca="1" si="4">IF(D13&lt;0.5,0,1)</f>
        <v>1</v>
      </c>
      <c r="D13" s="40">
        <f t="shared" ref="D13:D55" ca="1" si="5">B13/F$13</f>
        <v>0.68798828125</v>
      </c>
      <c r="E13" s="40">
        <f t="shared" ref="E13:E55" ca="1" si="6">IF(D13&lt;0.25,0,IF(D13&lt;0.5,1,IF(D13&lt;0.75,3,4)))</f>
        <v>3</v>
      </c>
      <c r="F13" s="40">
        <v>32768</v>
      </c>
      <c r="G13" s="40">
        <v>12</v>
      </c>
      <c r="H13" s="40">
        <v>607</v>
      </c>
      <c r="I13" s="40">
        <v>613</v>
      </c>
      <c r="J13" s="40">
        <v>617</v>
      </c>
      <c r="K13" s="40">
        <v>619</v>
      </c>
      <c r="L13" s="40">
        <v>631</v>
      </c>
      <c r="M13" s="40">
        <v>641</v>
      </c>
      <c r="N13" s="40">
        <v>643</v>
      </c>
      <c r="O13" s="40">
        <v>647</v>
      </c>
      <c r="P13" s="40">
        <v>653</v>
      </c>
      <c r="Q13" s="40">
        <v>659</v>
      </c>
      <c r="R13" s="40">
        <v>2621</v>
      </c>
      <c r="S13" s="40">
        <v>2633</v>
      </c>
      <c r="T13" s="40">
        <v>2647</v>
      </c>
      <c r="U13" s="40">
        <v>2657</v>
      </c>
      <c r="V13" s="40">
        <v>2659</v>
      </c>
      <c r="W13" s="40">
        <v>2663</v>
      </c>
    </row>
    <row r="14" spans="1:23">
      <c r="A14" s="40" t="s">
        <v>41</v>
      </c>
      <c r="B14" s="41">
        <f t="shared" ca="1" si="3"/>
        <v>3849</v>
      </c>
      <c r="C14" s="40">
        <f t="shared" ca="1" si="4"/>
        <v>0</v>
      </c>
      <c r="D14" s="40">
        <f t="shared" ca="1" si="5"/>
        <v>0.117462158203125</v>
      </c>
      <c r="E14" s="40">
        <f t="shared" ca="1" si="6"/>
        <v>0</v>
      </c>
      <c r="G14" s="40">
        <v>13</v>
      </c>
      <c r="H14" s="40">
        <v>661</v>
      </c>
      <c r="I14" s="40">
        <v>673</v>
      </c>
      <c r="J14" s="40">
        <v>677</v>
      </c>
      <c r="K14" s="40">
        <v>683</v>
      </c>
      <c r="L14" s="40">
        <v>691</v>
      </c>
      <c r="M14" s="40">
        <v>701</v>
      </c>
      <c r="N14" s="40">
        <v>709</v>
      </c>
      <c r="O14" s="40">
        <v>719</v>
      </c>
      <c r="P14" s="40">
        <v>727</v>
      </c>
      <c r="Q14" s="40">
        <v>733</v>
      </c>
      <c r="R14" s="40">
        <v>2689</v>
      </c>
      <c r="S14" s="40">
        <v>2693</v>
      </c>
      <c r="T14" s="40">
        <v>2699</v>
      </c>
      <c r="U14" s="40">
        <v>2707</v>
      </c>
      <c r="V14" s="40">
        <v>2711</v>
      </c>
      <c r="W14" s="40">
        <v>2713</v>
      </c>
    </row>
    <row r="15" spans="1:23">
      <c r="A15" s="40" t="s">
        <v>42</v>
      </c>
      <c r="B15" s="41">
        <f t="shared" ca="1" si="3"/>
        <v>21774</v>
      </c>
      <c r="C15" s="40">
        <f t="shared" ca="1" si="4"/>
        <v>1</v>
      </c>
      <c r="D15" s="40">
        <f t="shared" ca="1" si="5"/>
        <v>0.66448974609375</v>
      </c>
      <c r="E15" s="40">
        <f t="shared" ca="1" si="6"/>
        <v>3</v>
      </c>
      <c r="G15" s="40">
        <v>14</v>
      </c>
      <c r="H15" s="40">
        <v>739</v>
      </c>
      <c r="I15" s="40">
        <v>743</v>
      </c>
      <c r="J15" s="40">
        <v>751</v>
      </c>
      <c r="K15" s="40">
        <v>757</v>
      </c>
      <c r="L15" s="40">
        <v>761</v>
      </c>
      <c r="M15" s="40">
        <v>769</v>
      </c>
      <c r="N15" s="40">
        <v>773</v>
      </c>
      <c r="O15" s="40">
        <v>787</v>
      </c>
      <c r="P15" s="40">
        <v>797</v>
      </c>
      <c r="Q15" s="40">
        <v>809</v>
      </c>
      <c r="R15" s="40">
        <v>2749</v>
      </c>
      <c r="S15" s="40">
        <v>2753</v>
      </c>
      <c r="T15" s="40">
        <v>2767</v>
      </c>
      <c r="U15" s="40">
        <v>2777</v>
      </c>
      <c r="V15" s="40">
        <v>2789</v>
      </c>
      <c r="W15" s="40">
        <v>2791</v>
      </c>
    </row>
    <row r="16" spans="1:23">
      <c r="A16" s="40" t="s">
        <v>43</v>
      </c>
      <c r="B16" s="41">
        <f t="shared" ca="1" si="3"/>
        <v>11055</v>
      </c>
      <c r="C16" s="40">
        <f t="shared" ca="1" si="4"/>
        <v>0</v>
      </c>
      <c r="D16" s="40">
        <f t="shared" ca="1" si="5"/>
        <v>0.337371826171875</v>
      </c>
      <c r="E16" s="40">
        <f t="shared" ca="1" si="6"/>
        <v>1</v>
      </c>
      <c r="G16" s="40">
        <v>15</v>
      </c>
      <c r="H16" s="40">
        <v>811</v>
      </c>
      <c r="I16" s="40">
        <v>821</v>
      </c>
      <c r="J16" s="40">
        <v>823</v>
      </c>
      <c r="K16" s="40">
        <v>827</v>
      </c>
      <c r="L16" s="40">
        <v>829</v>
      </c>
      <c r="M16" s="40">
        <v>839</v>
      </c>
      <c r="N16" s="40">
        <v>853</v>
      </c>
      <c r="O16" s="40">
        <v>857</v>
      </c>
      <c r="P16" s="40">
        <v>859</v>
      </c>
      <c r="Q16" s="40">
        <v>863</v>
      </c>
      <c r="R16" s="40">
        <v>2833</v>
      </c>
      <c r="S16" s="40">
        <v>2837</v>
      </c>
      <c r="T16" s="40">
        <v>2843</v>
      </c>
      <c r="U16" s="40">
        <v>2851</v>
      </c>
      <c r="V16" s="40">
        <v>2857</v>
      </c>
      <c r="W16" s="40">
        <v>2861</v>
      </c>
    </row>
    <row r="17" spans="1:23">
      <c r="A17" s="40" t="s">
        <v>44</v>
      </c>
      <c r="B17" s="41">
        <f t="shared" ca="1" si="3"/>
        <v>25916</v>
      </c>
      <c r="C17" s="40">
        <f t="shared" ca="1" si="4"/>
        <v>1</v>
      </c>
      <c r="D17" s="40">
        <f t="shared" ca="1" si="5"/>
        <v>0.7908935546875</v>
      </c>
      <c r="E17" s="40">
        <f t="shared" ca="1" si="6"/>
        <v>4</v>
      </c>
      <c r="G17" s="40">
        <v>16</v>
      </c>
      <c r="H17" s="40">
        <v>877</v>
      </c>
      <c r="I17" s="40">
        <v>881</v>
      </c>
      <c r="J17" s="40">
        <v>883</v>
      </c>
      <c r="K17" s="40">
        <v>887</v>
      </c>
      <c r="L17" s="40">
        <v>907</v>
      </c>
      <c r="M17" s="40">
        <v>911</v>
      </c>
      <c r="N17" s="40">
        <v>919</v>
      </c>
      <c r="O17" s="40">
        <v>929</v>
      </c>
      <c r="P17" s="40">
        <v>937</v>
      </c>
      <c r="Q17" s="40">
        <v>941</v>
      </c>
      <c r="R17" s="40">
        <v>2909</v>
      </c>
      <c r="S17" s="40">
        <v>2917</v>
      </c>
      <c r="T17" s="40">
        <v>2927</v>
      </c>
      <c r="U17" s="40">
        <v>2939</v>
      </c>
      <c r="V17" s="40">
        <v>2953</v>
      </c>
      <c r="W17" s="40">
        <v>2957</v>
      </c>
    </row>
    <row r="18" spans="1:23">
      <c r="A18" s="40" t="s">
        <v>45</v>
      </c>
      <c r="B18" s="41">
        <f t="shared" ca="1" si="3"/>
        <v>4805</v>
      </c>
      <c r="C18" s="40">
        <f t="shared" ca="1" si="4"/>
        <v>0</v>
      </c>
      <c r="D18" s="40">
        <f t="shared" ca="1" si="5"/>
        <v>0.146636962890625</v>
      </c>
      <c r="E18" s="40">
        <f t="shared" ca="1" si="6"/>
        <v>0</v>
      </c>
    </row>
    <row r="19" spans="1:23">
      <c r="A19" s="40" t="s">
        <v>46</v>
      </c>
      <c r="B19" s="41">
        <f t="shared" ca="1" si="3"/>
        <v>13338</v>
      </c>
      <c r="C19" s="40">
        <f t="shared" ca="1" si="4"/>
        <v>0</v>
      </c>
      <c r="D19" s="40">
        <f t="shared" ca="1" si="5"/>
        <v>0.40704345703125</v>
      </c>
      <c r="E19" s="40">
        <f t="shared" ca="1" si="6"/>
        <v>1</v>
      </c>
      <c r="H19" s="42">
        <f ca="1">10+SUM(C12:C21)*5</f>
        <v>35</v>
      </c>
      <c r="I19" s="43">
        <f ca="1">2+MOD(E$17+A6,5)</f>
        <v>2</v>
      </c>
      <c r="J19" s="43" t="b">
        <f ca="1">IF(I19&gt;=5,TRUE,FALSE)</f>
        <v>0</v>
      </c>
      <c r="K19" s="43"/>
    </row>
    <row r="20" spans="1:23">
      <c r="A20" s="40" t="s">
        <v>47</v>
      </c>
      <c r="B20" s="41">
        <f t="shared" ca="1" si="3"/>
        <v>19275</v>
      </c>
      <c r="C20" s="40">
        <f t="shared" ca="1" si="4"/>
        <v>1</v>
      </c>
      <c r="D20" s="40">
        <f t="shared" ca="1" si="5"/>
        <v>0.588226318359375</v>
      </c>
      <c r="E20" s="40">
        <f t="shared" ca="1" si="6"/>
        <v>3</v>
      </c>
      <c r="H20" s="42">
        <f ca="1">20+SUM(C23:C32)*5</f>
        <v>50</v>
      </c>
      <c r="I20" s="43">
        <f t="shared" ref="I20:I23" ca="1" si="7">2+MOD(E$17+A7,5)</f>
        <v>3</v>
      </c>
      <c r="J20" s="43" t="b">
        <f t="shared" ref="J20:J23" ca="1" si="8">IF(I20&gt;=5,TRUE,FALSE)</f>
        <v>0</v>
      </c>
      <c r="K20" s="43"/>
    </row>
    <row r="21" spans="1:23">
      <c r="A21" s="40" t="s">
        <v>48</v>
      </c>
      <c r="B21" s="41">
        <f t="shared" ca="1" si="3"/>
        <v>6440</v>
      </c>
      <c r="C21" s="40">
        <f t="shared" ca="1" si="4"/>
        <v>0</v>
      </c>
      <c r="D21" s="40">
        <f t="shared" ca="1" si="5"/>
        <v>0.196533203125</v>
      </c>
      <c r="E21" s="40">
        <f t="shared" ca="1" si="6"/>
        <v>0</v>
      </c>
      <c r="H21" s="42">
        <f ca="1">30+SUM(C33:C42)*5</f>
        <v>40</v>
      </c>
      <c r="I21" s="43">
        <f t="shared" ca="1" si="7"/>
        <v>4</v>
      </c>
      <c r="J21" s="43" t="b">
        <f t="shared" ca="1" si="8"/>
        <v>0</v>
      </c>
    </row>
    <row r="22" spans="1:23">
      <c r="A22" s="40" t="s">
        <v>49</v>
      </c>
      <c r="B22" s="41">
        <f t="shared" ca="1" si="3"/>
        <v>5697</v>
      </c>
      <c r="C22" s="40">
        <f t="shared" ca="1" si="4"/>
        <v>0</v>
      </c>
      <c r="D22" s="40">
        <f t="shared" ca="1" si="5"/>
        <v>0.173858642578125</v>
      </c>
      <c r="E22" s="40">
        <f t="shared" ca="1" si="6"/>
        <v>0</v>
      </c>
      <c r="H22" s="42"/>
      <c r="I22" s="43">
        <f t="shared" ca="1" si="7"/>
        <v>5</v>
      </c>
      <c r="J22" s="43" t="b">
        <f t="shared" ca="1" si="8"/>
        <v>1</v>
      </c>
      <c r="M22" s="41"/>
    </row>
    <row r="23" spans="1:23">
      <c r="A23" s="40" t="s">
        <v>50</v>
      </c>
      <c r="B23" s="41">
        <f t="shared" ca="1" si="3"/>
        <v>30694</v>
      </c>
      <c r="C23" s="40">
        <f t="shared" ca="1" si="4"/>
        <v>1</v>
      </c>
      <c r="D23" s="40">
        <f t="shared" ca="1" si="5"/>
        <v>0.93670654296875</v>
      </c>
      <c r="E23" s="40">
        <f t="shared" ca="1" si="6"/>
        <v>4</v>
      </c>
      <c r="H23" s="42"/>
      <c r="I23" s="43">
        <f t="shared" ca="1" si="7"/>
        <v>6</v>
      </c>
      <c r="J23" s="43" t="b">
        <f t="shared" ca="1" si="8"/>
        <v>1</v>
      </c>
      <c r="M23" s="41"/>
    </row>
    <row r="24" spans="1:23">
      <c r="A24" s="40" t="s">
        <v>51</v>
      </c>
      <c r="B24" s="41">
        <f t="shared" ca="1" si="3"/>
        <v>20775</v>
      </c>
      <c r="C24" s="40">
        <f t="shared" ca="1" si="4"/>
        <v>1</v>
      </c>
      <c r="D24" s="40">
        <f t="shared" ca="1" si="5"/>
        <v>0.634002685546875</v>
      </c>
      <c r="E24" s="40">
        <f t="shared" ca="1" si="6"/>
        <v>3</v>
      </c>
      <c r="H24" s="44"/>
      <c r="I24" s="43"/>
      <c r="J24" s="43"/>
      <c r="K24" s="43"/>
      <c r="M24" s="41"/>
    </row>
    <row r="25" spans="1:23">
      <c r="A25" s="40" t="s">
        <v>52</v>
      </c>
      <c r="B25" s="41">
        <f t="shared" ca="1" si="3"/>
        <v>8148</v>
      </c>
      <c r="C25" s="40">
        <f t="shared" ca="1" si="4"/>
        <v>0</v>
      </c>
      <c r="D25" s="40">
        <f t="shared" ca="1" si="5"/>
        <v>0.2486572265625</v>
      </c>
      <c r="E25" s="40">
        <f t="shared" ca="1" si="6"/>
        <v>0</v>
      </c>
      <c r="H25" s="42"/>
      <c r="I25" s="43"/>
      <c r="J25" s="43"/>
      <c r="K25" s="43"/>
      <c r="M25" s="41"/>
    </row>
    <row r="26" spans="1:23">
      <c r="A26" s="40" t="s">
        <v>53</v>
      </c>
      <c r="B26" s="41">
        <f t="shared" ca="1" si="3"/>
        <v>21885</v>
      </c>
      <c r="C26" s="40">
        <f t="shared" ca="1" si="4"/>
        <v>1</v>
      </c>
      <c r="D26" s="40">
        <f t="shared" ca="1" si="5"/>
        <v>0.667877197265625</v>
      </c>
      <c r="E26" s="40">
        <f t="shared" ca="1" si="6"/>
        <v>3</v>
      </c>
      <c r="H26" s="42"/>
      <c r="M26" s="41"/>
    </row>
    <row r="27" spans="1:23">
      <c r="A27" s="40" t="s">
        <v>54</v>
      </c>
      <c r="B27" s="41">
        <f t="shared" ca="1" si="3"/>
        <v>11378</v>
      </c>
      <c r="C27" s="40">
        <f t="shared" ca="1" si="4"/>
        <v>0</v>
      </c>
      <c r="D27" s="40">
        <f t="shared" ca="1" si="5"/>
        <v>0.34722900390625</v>
      </c>
      <c r="E27" s="40">
        <f t="shared" ca="1" si="6"/>
        <v>1</v>
      </c>
      <c r="L27" s="41"/>
    </row>
    <row r="28" spans="1:23">
      <c r="A28" s="40" t="s">
        <v>55</v>
      </c>
      <c r="B28" s="41">
        <f t="shared" ca="1" si="3"/>
        <v>22723</v>
      </c>
      <c r="C28" s="40">
        <f t="shared" ca="1" si="4"/>
        <v>1</v>
      </c>
      <c r="D28" s="40">
        <f t="shared" ca="1" si="5"/>
        <v>0.693450927734375</v>
      </c>
      <c r="E28" s="40">
        <f t="shared" ca="1" si="6"/>
        <v>3</v>
      </c>
      <c r="M28" s="41"/>
    </row>
    <row r="29" spans="1:23">
      <c r="A29" s="40" t="s">
        <v>56</v>
      </c>
      <c r="B29" s="41">
        <f t="shared" ca="1" si="3"/>
        <v>25920</v>
      </c>
      <c r="C29" s="40">
        <f t="shared" ca="1" si="4"/>
        <v>1</v>
      </c>
      <c r="D29" s="40">
        <f t="shared" ca="1" si="5"/>
        <v>0.791015625</v>
      </c>
      <c r="E29" s="40">
        <f t="shared" ca="1" si="6"/>
        <v>4</v>
      </c>
      <c r="M29" s="41"/>
    </row>
    <row r="30" spans="1:23">
      <c r="A30" s="40" t="s">
        <v>57</v>
      </c>
      <c r="B30" s="41">
        <f t="shared" ca="1" si="3"/>
        <v>19577</v>
      </c>
      <c r="C30" s="40">
        <f t="shared" ca="1" si="4"/>
        <v>1</v>
      </c>
      <c r="D30" s="40">
        <f t="shared" ca="1" si="5"/>
        <v>0.597442626953125</v>
      </c>
      <c r="E30" s="40">
        <f t="shared" ca="1" si="6"/>
        <v>3</v>
      </c>
      <c r="M30" s="41"/>
    </row>
    <row r="31" spans="1:23">
      <c r="A31" s="40" t="s">
        <v>58</v>
      </c>
      <c r="B31" s="41">
        <f t="shared" ca="1" si="3"/>
        <v>7614</v>
      </c>
      <c r="C31" s="40">
        <f t="shared" ca="1" si="4"/>
        <v>0</v>
      </c>
      <c r="D31" s="40">
        <f t="shared" ca="1" si="5"/>
        <v>0.23236083984375</v>
      </c>
      <c r="E31" s="40">
        <f t="shared" ca="1" si="6"/>
        <v>0</v>
      </c>
      <c r="M31" s="41"/>
    </row>
    <row r="32" spans="1:23">
      <c r="A32" s="40" t="s">
        <v>59</v>
      </c>
      <c r="B32" s="41">
        <f t="shared" ca="1" si="3"/>
        <v>15903</v>
      </c>
      <c r="C32" s="40">
        <f t="shared" ca="1" si="4"/>
        <v>0</v>
      </c>
      <c r="D32" s="40">
        <f t="shared" ca="1" si="5"/>
        <v>0.485321044921875</v>
      </c>
      <c r="E32" s="40">
        <f t="shared" ca="1" si="6"/>
        <v>1</v>
      </c>
      <c r="M32" s="41"/>
    </row>
    <row r="33" spans="1:13">
      <c r="A33" s="40" t="s">
        <v>60</v>
      </c>
      <c r="B33" s="41">
        <f t="shared" ca="1" si="3"/>
        <v>5484</v>
      </c>
      <c r="C33" s="40">
        <f t="shared" ca="1" si="4"/>
        <v>0</v>
      </c>
      <c r="D33" s="40">
        <f t="shared" ca="1" si="5"/>
        <v>0.1673583984375</v>
      </c>
      <c r="E33" s="40">
        <f t="shared" ca="1" si="6"/>
        <v>0</v>
      </c>
      <c r="M33" s="41"/>
    </row>
    <row r="34" spans="1:13">
      <c r="A34" s="40" t="s">
        <v>61</v>
      </c>
      <c r="B34" s="41">
        <f t="shared" ca="1" si="3"/>
        <v>14133</v>
      </c>
      <c r="C34" s="40">
        <f t="shared" ca="1" si="4"/>
        <v>0</v>
      </c>
      <c r="D34" s="40">
        <f t="shared" ca="1" si="5"/>
        <v>0.431304931640625</v>
      </c>
      <c r="E34" s="40">
        <f t="shared" ca="1" si="6"/>
        <v>1</v>
      </c>
      <c r="M34" s="41"/>
    </row>
    <row r="35" spans="1:13">
      <c r="A35" s="40" t="s">
        <v>62</v>
      </c>
      <c r="B35" s="41">
        <f t="shared" ca="1" si="3"/>
        <v>22474</v>
      </c>
      <c r="C35" s="40">
        <f t="shared" ca="1" si="4"/>
        <v>1</v>
      </c>
      <c r="D35" s="40">
        <f t="shared" ca="1" si="5"/>
        <v>0.68585205078125</v>
      </c>
      <c r="E35" s="40">
        <f t="shared" ca="1" si="6"/>
        <v>3</v>
      </c>
      <c r="M35" s="41"/>
    </row>
    <row r="36" spans="1:13">
      <c r="A36" s="40" t="s">
        <v>63</v>
      </c>
      <c r="B36" s="41">
        <f t="shared" ca="1" si="3"/>
        <v>7483</v>
      </c>
      <c r="C36" s="40">
        <f t="shared" ca="1" si="4"/>
        <v>0</v>
      </c>
      <c r="D36" s="40">
        <f t="shared" ca="1" si="5"/>
        <v>0.228363037109375</v>
      </c>
      <c r="E36" s="40">
        <f t="shared" ca="1" si="6"/>
        <v>0</v>
      </c>
      <c r="M36" s="41"/>
    </row>
    <row r="37" spans="1:13">
      <c r="A37" s="40" t="s">
        <v>64</v>
      </c>
      <c r="B37" s="41">
        <f t="shared" ca="1" si="3"/>
        <v>7256</v>
      </c>
      <c r="C37" s="40">
        <f t="shared" ca="1" si="4"/>
        <v>0</v>
      </c>
      <c r="D37" s="40">
        <f t="shared" ca="1" si="5"/>
        <v>0.221435546875</v>
      </c>
      <c r="E37" s="40">
        <f t="shared" ca="1" si="6"/>
        <v>0</v>
      </c>
      <c r="M37" s="41"/>
    </row>
    <row r="38" spans="1:13">
      <c r="A38" s="40" t="s">
        <v>65</v>
      </c>
      <c r="B38" s="41">
        <f t="shared" ca="1" si="3"/>
        <v>4529</v>
      </c>
      <c r="C38" s="40">
        <f t="shared" ca="1" si="4"/>
        <v>0</v>
      </c>
      <c r="D38" s="40">
        <f t="shared" ca="1" si="5"/>
        <v>0.138214111328125</v>
      </c>
      <c r="E38" s="40">
        <f t="shared" ca="1" si="6"/>
        <v>0</v>
      </c>
      <c r="M38" s="41"/>
    </row>
    <row r="39" spans="1:13">
      <c r="A39" s="40" t="s">
        <v>66</v>
      </c>
      <c r="B39" s="41">
        <f t="shared" ca="1" si="3"/>
        <v>9878</v>
      </c>
      <c r="C39" s="40">
        <f t="shared" ca="1" si="4"/>
        <v>0</v>
      </c>
      <c r="D39" s="40">
        <f t="shared" ca="1" si="5"/>
        <v>0.30145263671875</v>
      </c>
      <c r="E39" s="40">
        <f t="shared" ca="1" si="6"/>
        <v>1</v>
      </c>
      <c r="M39" s="41"/>
    </row>
    <row r="40" spans="1:13">
      <c r="A40" s="40" t="s">
        <v>67</v>
      </c>
      <c r="B40" s="41">
        <f t="shared" ca="1" si="3"/>
        <v>21015</v>
      </c>
      <c r="C40" s="40">
        <f t="shared" ca="1" si="4"/>
        <v>1</v>
      </c>
      <c r="D40" s="40">
        <f t="shared" ca="1" si="5"/>
        <v>0.641326904296875</v>
      </c>
      <c r="E40" s="40">
        <f t="shared" ca="1" si="6"/>
        <v>3</v>
      </c>
      <c r="M40" s="41"/>
    </row>
    <row r="41" spans="1:13">
      <c r="A41" s="40" t="s">
        <v>68</v>
      </c>
      <c r="B41" s="41">
        <f t="shared" ca="1" si="3"/>
        <v>9732</v>
      </c>
      <c r="C41" s="40">
        <f t="shared" ca="1" si="4"/>
        <v>0</v>
      </c>
      <c r="D41" s="40">
        <f t="shared" ca="1" si="5"/>
        <v>0.2969970703125</v>
      </c>
      <c r="E41" s="40">
        <f t="shared" ca="1" si="6"/>
        <v>1</v>
      </c>
      <c r="M41" s="41"/>
    </row>
    <row r="42" spans="1:13">
      <c r="A42" s="40" t="s">
        <v>69</v>
      </c>
      <c r="B42" s="41">
        <f t="shared" ca="1" si="3"/>
        <v>6125</v>
      </c>
      <c r="C42" s="40">
        <f t="shared" ca="1" si="4"/>
        <v>0</v>
      </c>
      <c r="D42" s="40">
        <f t="shared" ca="1" si="5"/>
        <v>0.186920166015625</v>
      </c>
      <c r="E42" s="40">
        <f t="shared" ca="1" si="6"/>
        <v>0</v>
      </c>
      <c r="M42" s="41"/>
    </row>
    <row r="43" spans="1:13">
      <c r="A43" s="40" t="s">
        <v>70</v>
      </c>
      <c r="B43" s="41">
        <f t="shared" ca="1" si="3"/>
        <v>5666</v>
      </c>
      <c r="C43" s="40">
        <f t="shared" ca="1" si="4"/>
        <v>0</v>
      </c>
      <c r="D43" s="40">
        <f t="shared" ca="1" si="5"/>
        <v>0.17291259765625</v>
      </c>
      <c r="E43" s="40">
        <f t="shared" ca="1" si="6"/>
        <v>0</v>
      </c>
      <c r="M43" s="41"/>
    </row>
    <row r="44" spans="1:13">
      <c r="A44" s="40" t="s">
        <v>71</v>
      </c>
      <c r="B44" s="41">
        <f t="shared" ca="1" si="3"/>
        <v>30899</v>
      </c>
      <c r="C44" s="40">
        <f t="shared" ca="1" si="4"/>
        <v>1</v>
      </c>
      <c r="D44" s="40">
        <f t="shared" ca="1" si="5"/>
        <v>0.942962646484375</v>
      </c>
      <c r="E44" s="40">
        <f t="shared" ca="1" si="6"/>
        <v>4</v>
      </c>
      <c r="M44" s="41"/>
    </row>
    <row r="45" spans="1:13">
      <c r="A45" s="40" t="s">
        <v>72</v>
      </c>
      <c r="B45" s="41">
        <f t="shared" ca="1" si="3"/>
        <v>7792</v>
      </c>
      <c r="C45" s="40">
        <f t="shared" ca="1" si="4"/>
        <v>0</v>
      </c>
      <c r="D45" s="40">
        <f t="shared" ca="1" si="5"/>
        <v>0.23779296875</v>
      </c>
      <c r="E45" s="40">
        <f t="shared" ca="1" si="6"/>
        <v>0</v>
      </c>
      <c r="M45" s="41"/>
    </row>
    <row r="46" spans="1:13">
      <c r="A46" s="40" t="s">
        <v>73</v>
      </c>
      <c r="B46" s="41">
        <f t="shared" ca="1" si="3"/>
        <v>17897</v>
      </c>
      <c r="C46" s="40">
        <f t="shared" ca="1" si="4"/>
        <v>1</v>
      </c>
      <c r="D46" s="40">
        <f t="shared" ca="1" si="5"/>
        <v>0.546173095703125</v>
      </c>
      <c r="E46" s="40">
        <f t="shared" ca="1" si="6"/>
        <v>3</v>
      </c>
    </row>
    <row r="47" spans="1:13">
      <c r="A47" s="40" t="s">
        <v>74</v>
      </c>
      <c r="B47" s="41">
        <f t="shared" ca="1" si="3"/>
        <v>29294</v>
      </c>
      <c r="C47" s="40">
        <f t="shared" ca="1" si="4"/>
        <v>1</v>
      </c>
      <c r="D47" s="40">
        <f t="shared" ca="1" si="5"/>
        <v>0.89398193359375</v>
      </c>
      <c r="E47" s="40">
        <f t="shared" ca="1" si="6"/>
        <v>4</v>
      </c>
    </row>
    <row r="48" spans="1:13">
      <c r="A48" s="40" t="s">
        <v>75</v>
      </c>
      <c r="B48" s="41">
        <f t="shared" ca="1" si="3"/>
        <v>27919</v>
      </c>
      <c r="C48" s="40">
        <f t="shared" ca="1" si="4"/>
        <v>1</v>
      </c>
      <c r="D48" s="40">
        <f t="shared" ca="1" si="5"/>
        <v>0.852020263671875</v>
      </c>
      <c r="E48" s="40">
        <f t="shared" ca="1" si="6"/>
        <v>4</v>
      </c>
    </row>
    <row r="49" spans="1:5">
      <c r="A49" s="40" t="s">
        <v>76</v>
      </c>
      <c r="B49" s="41">
        <f t="shared" ca="1" si="3"/>
        <v>12700</v>
      </c>
      <c r="C49" s="40">
        <f t="shared" ca="1" si="4"/>
        <v>0</v>
      </c>
      <c r="D49" s="40">
        <f t="shared" ca="1" si="5"/>
        <v>0.3875732421875</v>
      </c>
      <c r="E49" s="40">
        <f t="shared" ca="1" si="6"/>
        <v>1</v>
      </c>
    </row>
    <row r="50" spans="1:5">
      <c r="A50" s="40" t="s">
        <v>77</v>
      </c>
      <c r="B50" s="41">
        <f t="shared" ca="1" si="3"/>
        <v>22437</v>
      </c>
      <c r="C50" s="40">
        <f t="shared" ca="1" si="4"/>
        <v>1</v>
      </c>
      <c r="D50" s="40">
        <f t="shared" ca="1" si="5"/>
        <v>0.684722900390625</v>
      </c>
      <c r="E50" s="40">
        <f t="shared" ca="1" si="6"/>
        <v>3</v>
      </c>
    </row>
    <row r="51" spans="1:5">
      <c r="A51" s="40" t="s">
        <v>78</v>
      </c>
      <c r="B51" s="41">
        <f t="shared" ca="1" si="3"/>
        <v>18298</v>
      </c>
      <c r="C51" s="40">
        <f t="shared" ca="1" si="4"/>
        <v>1</v>
      </c>
      <c r="D51" s="40">
        <f t="shared" ca="1" si="5"/>
        <v>0.55841064453125</v>
      </c>
      <c r="E51" s="40">
        <f t="shared" ca="1" si="6"/>
        <v>3</v>
      </c>
    </row>
    <row r="52" spans="1:5">
      <c r="A52" s="40" t="s">
        <v>79</v>
      </c>
      <c r="B52" s="41">
        <f t="shared" ca="1" si="3"/>
        <v>19243</v>
      </c>
      <c r="C52" s="40">
        <f t="shared" ca="1" si="4"/>
        <v>1</v>
      </c>
      <c r="D52" s="40">
        <f t="shared" ca="1" si="5"/>
        <v>0.587249755859375</v>
      </c>
      <c r="E52" s="40">
        <f t="shared" ca="1" si="6"/>
        <v>3</v>
      </c>
    </row>
    <row r="53" spans="1:5">
      <c r="A53" s="40" t="s">
        <v>80</v>
      </c>
      <c r="B53" s="41">
        <f t="shared" ca="1" si="3"/>
        <v>19336</v>
      </c>
      <c r="C53" s="40">
        <f t="shared" ca="1" si="4"/>
        <v>1</v>
      </c>
      <c r="D53" s="40">
        <f t="shared" ca="1" si="5"/>
        <v>0.590087890625</v>
      </c>
      <c r="E53" s="40">
        <f t="shared" ca="1" si="6"/>
        <v>3</v>
      </c>
    </row>
    <row r="54" spans="1:5">
      <c r="A54" s="40" t="s">
        <v>81</v>
      </c>
      <c r="B54" s="41">
        <f t="shared" ca="1" si="3"/>
        <v>18721</v>
      </c>
      <c r="C54" s="40">
        <f t="shared" ca="1" si="4"/>
        <v>1</v>
      </c>
      <c r="D54" s="40">
        <f t="shared" ca="1" si="5"/>
        <v>0.571319580078125</v>
      </c>
      <c r="E54" s="40">
        <f t="shared" ca="1" si="6"/>
        <v>3</v>
      </c>
    </row>
    <row r="55" spans="1:5">
      <c r="A55" s="40" t="s">
        <v>82</v>
      </c>
      <c r="B55" s="41">
        <f t="shared" ca="1" si="3"/>
        <v>24902</v>
      </c>
      <c r="C55" s="40">
        <f t="shared" ca="1" si="4"/>
        <v>1</v>
      </c>
      <c r="D55" s="40">
        <f t="shared" ca="1" si="5"/>
        <v>0.75994873046875</v>
      </c>
      <c r="E55" s="40">
        <f t="shared" ca="1" si="6"/>
        <v>4</v>
      </c>
    </row>
  </sheetData>
  <sheetProtection algorithmName="SHA-512" hashValue="93ump3d1naY0oRW2YKUshzWauIDLeOJiqr3PENp4E47e8Uv2+ikyrZ5q+qGuA0tQdVDf02eYkGCyKoe2/pEwCg==" saltValue="RVo3JTJkT+5Cfei8Q7eNEw=="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F658-1B33-4733-9197-78E9FD0425A9}">
  <dimension ref="A1:G6"/>
  <sheetViews>
    <sheetView topLeftCell="A10" workbookViewId="0">
      <selection activeCell="G6" sqref="G6"/>
    </sheetView>
  </sheetViews>
  <sheetFormatPr defaultRowHeight="15.75"/>
  <cols>
    <col min="1" max="1" width="92.75" customWidth="1"/>
    <col min="2" max="2" width="13.375" customWidth="1"/>
    <col min="5" max="5" width="12.25" customWidth="1"/>
  </cols>
  <sheetData>
    <row r="1" spans="1:7" ht="49.9" customHeight="1">
      <c r="A1" s="30" t="str">
        <f ca="1">Random!H19&amp;" horses ran in the Kentucky Derby.  The Exacta bet involves picking the first two finishers in order.  "&amp;"Determine the number of outcomes for two horses finishing in the first two spots and the probability of winning the Exacta bet if you pick the horses at random."</f>
        <v>35 horses ran in the Kentucky Derby.  The Exacta bet involves picking the first two finishers in order.  Determine the number of outcomes for two horses finishing in the first two spots and the probability of winning the Exacta bet if you pick the horses at random.</v>
      </c>
      <c r="B1" t="s">
        <v>83</v>
      </c>
      <c r="C1">
        <f ca="1">PERMUT(Random!H19,2)</f>
        <v>1190</v>
      </c>
      <c r="D1">
        <v>1</v>
      </c>
      <c r="E1" s="36">
        <f ca="1">D1/C1</f>
        <v>8.4033613445378156E-4</v>
      </c>
      <c r="F1">
        <f ca="1">(1-E1)/E1</f>
        <v>1189</v>
      </c>
    </row>
    <row r="2" spans="1:7" ht="49.9" customHeight="1">
      <c r="A2" s="30" t="str">
        <f ca="1">Random!H19&amp;" horses ran in the Kentucky Derby.  The Trifecta bet involves picking the first three finishers in order.  "&amp;"Determine the number of outcomes for three horses finishing in the first three spots and the probability of winning the Trifecta bet if you pick the horses at random."</f>
        <v>35 horses ran in the Kentucky Derby.  The Trifecta bet involves picking the first three finishers in order.  Determine the number of outcomes for three horses finishing in the first three spots and the probability of winning the Trifecta bet if you pick the horses at random.</v>
      </c>
      <c r="B2" t="s">
        <v>83</v>
      </c>
      <c r="C2">
        <f ca="1">PERMUT(Random!H19,3)</f>
        <v>39270</v>
      </c>
      <c r="D2">
        <v>1</v>
      </c>
      <c r="E2" s="36">
        <f t="shared" ref="E2:E6" ca="1" si="0">D2/C2</f>
        <v>2.5464731347084288E-5</v>
      </c>
      <c r="F2">
        <f t="shared" ref="F2:F6" ca="1" si="1">(1-E2)/E2</f>
        <v>39269</v>
      </c>
    </row>
    <row r="3" spans="1:7" ht="49.9" customHeight="1">
      <c r="A3" s="30" t="str">
        <f ca="1">Random!H19&amp;"  horses ran in the Kentucky Derby.  The Superfecta bet involves picking the first four finishers in order.  "&amp;"Determine the number of outcomes for four horses finishing in the first four spots and the probability of winning the Superfecta bet if you pick the horses at random."</f>
        <v>35  horses ran in the Kentucky Derby.  The Superfecta bet involves picking the first four finishers in order.  Determine the number of outcomes for four horses finishing in the first four spots and the probability of winning the Superfecta bet if you pick the horses at random.</v>
      </c>
      <c r="B3" t="s">
        <v>83</v>
      </c>
      <c r="C3">
        <f ca="1">PERMUT(Random!H19,4)</f>
        <v>1256640</v>
      </c>
      <c r="D3">
        <v>1</v>
      </c>
      <c r="E3" s="36">
        <f t="shared" ca="1" si="0"/>
        <v>7.95772854596384E-7</v>
      </c>
      <c r="F3">
        <f t="shared" ca="1" si="1"/>
        <v>1256639</v>
      </c>
    </row>
    <row r="4" spans="1:7" ht="49.9" customHeight="1">
      <c r="A4" s="11" t="str">
        <f ca="1">"In a lottery game, "&amp;Random!H21&amp;" numbered ping-pong balls are put in a bin, and 4 are randomly chosen. To win the jackpot, you need to match all 4 numbers in the order in which they were drawn.  Determine the number of outcomes for picking 4 different numbers in order from the "&amp;Random!H21&amp;" ping-pong balls and the probability of you picking the correct numbers in order."</f>
        <v>In a lottery game, 40 numbered ping-pong balls are put in a bin, and 4 are randomly chosen. To win the jackpot, you need to match all 4 numbers in the order in which they were drawn.  Determine the number of outcomes for picking 4 different numbers in order from the 40 ping-pong balls and the probability of you picking the correct numbers in order.</v>
      </c>
      <c r="B4" t="s">
        <v>83</v>
      </c>
      <c r="C4">
        <f ca="1">PERMUT(Random!H21,4)</f>
        <v>2193360</v>
      </c>
      <c r="D4">
        <v>1</v>
      </c>
      <c r="E4" s="36">
        <f t="shared" ca="1" si="0"/>
        <v>4.5592150855308751E-7</v>
      </c>
      <c r="F4">
        <f t="shared" ca="1" si="1"/>
        <v>2193359</v>
      </c>
    </row>
    <row r="5" spans="1:7" ht="49.9" customHeight="1">
      <c r="A5" s="11" t="str">
        <f ca="1">"In a lottery game, "&amp;Random!H20&amp;" numbered ping-pong balls are put in a bin, and 5 are randomly chosen. To win the jackpot, you need to match all 5 numbers.  Determine the number of outcomes for picking 5 different numbers from the "&amp;Random!H20&amp;" ping-pong balls and the probability of you picking the correct numbers."</f>
        <v>In a lottery game, 50 numbered ping-pong balls are put in a bin, and 5 are randomly chosen. To win the jackpot, you need to match all 5 numbers.  Determine the number of outcomes for picking 5 different numbers from the 50 ping-pong balls and the probability of you picking the correct numbers.</v>
      </c>
      <c r="B5" t="s">
        <v>84</v>
      </c>
      <c r="C5">
        <f ca="1">COMBIN(Random!H20,5)</f>
        <v>2118760</v>
      </c>
      <c r="D5">
        <v>1</v>
      </c>
      <c r="E5" s="36">
        <f t="shared" ca="1" si="0"/>
        <v>4.7197417357322209E-7</v>
      </c>
      <c r="F5">
        <f t="shared" ca="1" si="1"/>
        <v>2118759</v>
      </c>
    </row>
    <row r="6" spans="1:7" ht="49.9" customHeight="1">
      <c r="A6" s="30" t="str">
        <f ca="1">"In a lottery game, "&amp;Random!H20&amp;" numbered ping-pong balls are put in a bin, and 5 are randomly chosen. You’ll get twice your money back if you match exactly three of the five numbers.  "&amp;"Still using the same number of outcomes as the game above (choosing 5 different ping-pong balls from the "&amp;Random!H20&amp;"), determine the probability of matching three out of five numbers."</f>
        <v>In a lottery game, 50 numbered ping-pong balls are put in a bin, and 5 are randomly chosen. You’ll get twice your money back if you match exactly three of the five numbers.  Still using the same number of outcomes as the game above (choosing 5 different ping-pong balls from the 50), determine the probability of matching three out of five numbers.</v>
      </c>
      <c r="B6" t="s">
        <v>84</v>
      </c>
      <c r="C6">
        <f ca="1">COMBIN(Random!H20,5)</f>
        <v>2118760</v>
      </c>
      <c r="D6">
        <f ca="1">COMBIN(5,3)*COMBIN(Random!H20-5,2)</f>
        <v>9900</v>
      </c>
      <c r="E6" s="36">
        <f t="shared" ca="1" si="0"/>
        <v>4.6725443183748983E-3</v>
      </c>
      <c r="F6">
        <f t="shared" ca="1" si="1"/>
        <v>213.01616161616161</v>
      </c>
      <c r="G6">
        <f ca="1">(C6-D6)/D6</f>
        <v>213.01616161616161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0329-900E-4C44-ABF7-150FAC5BFA0C}">
  <dimension ref="C4:G10"/>
  <sheetViews>
    <sheetView workbookViewId="0">
      <selection activeCell="E15" sqref="E15"/>
    </sheetView>
  </sheetViews>
  <sheetFormatPr defaultRowHeight="15.75"/>
  <sheetData>
    <row r="4" spans="3:7">
      <c r="C4" s="79" t="s">
        <v>85</v>
      </c>
      <c r="D4" s="79"/>
      <c r="E4" s="79"/>
      <c r="F4" s="79"/>
      <c r="G4" s="79"/>
    </row>
    <row r="5" spans="3:7">
      <c r="C5" s="79"/>
      <c r="D5" s="79"/>
      <c r="E5" s="79"/>
      <c r="F5" s="79"/>
      <c r="G5" s="79"/>
    </row>
    <row r="6" spans="3:7">
      <c r="C6" s="79"/>
      <c r="D6" s="79"/>
      <c r="E6" s="79"/>
      <c r="F6" s="79"/>
      <c r="G6" s="79"/>
    </row>
    <row r="7" spans="3:7">
      <c r="C7" s="79"/>
      <c r="D7" s="79"/>
      <c r="E7" s="79"/>
      <c r="F7" s="79"/>
      <c r="G7" s="79"/>
    </row>
    <row r="8" spans="3:7">
      <c r="C8" s="79"/>
      <c r="D8" s="79"/>
      <c r="E8" s="79"/>
      <c r="F8" s="79"/>
      <c r="G8" s="79"/>
    </row>
    <row r="9" spans="3:7">
      <c r="C9" s="79"/>
      <c r="D9" s="79"/>
      <c r="E9" s="79"/>
      <c r="F9" s="79"/>
      <c r="G9" s="79"/>
    </row>
    <row r="10" spans="3:7">
      <c r="C10" s="79"/>
      <c r="D10" s="79"/>
      <c r="E10" s="79"/>
      <c r="F10" s="79"/>
      <c r="G10" s="79"/>
    </row>
  </sheetData>
  <customSheetViews>
    <customSheetView guid="{13B6492D-170C-45E1-97D8-793CC53D410C}" state="hidden">
      <selection activeCell="E15" sqref="E15"/>
      <pageMargins left="0" right="0" top="0" bottom="0" header="0" footer="0"/>
      <pageSetup orientation="portrait" r:id="rId1"/>
    </customSheetView>
  </customSheetViews>
  <mergeCells count="1">
    <mergeCell ref="C4:G10"/>
  </mergeCell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817591-2806-4B51-9D1C-6BC766992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39485D-C01E-4ECC-A97D-DD7E1E83D4C0}">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CE888125-757F-4287-A413-B81F0A459F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Goals and Instructions</vt:lpstr>
      <vt:lpstr>Users</vt:lpstr>
      <vt:lpstr>Games</vt:lpstr>
      <vt:lpstr>soln1</vt:lpstr>
      <vt:lpstr>Random</vt:lpstr>
      <vt:lpstr>Sheet3</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Richard Ketchersid</cp:lastModifiedBy>
  <cp:revision/>
  <dcterms:created xsi:type="dcterms:W3CDTF">2016-01-21T16:47:37Z</dcterms:created>
  <dcterms:modified xsi:type="dcterms:W3CDTF">2026-08-26T03:27:54Z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MediaServiceImageTags">
    <vt:lpwstr/>
  </property>
</Properties>
</file>