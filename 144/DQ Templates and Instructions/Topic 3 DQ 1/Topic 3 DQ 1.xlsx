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3 DQ 1/"/>
    </mc:Choice>
  </mc:AlternateContent>
  <xr:revisionPtr revIDLastSave="363" documentId="8_{C5702531-EDB5-4409-B5CA-675AC228E6F3}" xr6:coauthVersionLast="47" xr6:coauthVersionMax="47" xr10:uidLastSave="{E37C3A3E-D2BC-4E5E-95F2-8C02AF2E9255}"/>
  <bookViews>
    <workbookView xWindow="-120" yWindow="-120" windowWidth="29040" windowHeight="15720" xr2:uid="{4FCF7FA6-22BB-4545-AB27-D5B8AACA448D}"/>
  </bookViews>
  <sheets>
    <sheet name="Goals and Instructions" sheetId="6" r:id="rId1"/>
    <sheet name="Financial" sheetId="1" r:id="rId2"/>
    <sheet name="Random" sheetId="4" state="hidden" r:id="rId3"/>
    <sheet name="Solutions" sheetId="2" state="hidden" r:id="rId4"/>
    <sheet name="Sheet1" sheetId="5"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6" i="2" l="1"/>
  <c r="H31" i="2"/>
  <c r="I31" i="2" s="1"/>
  <c r="J31" i="2" s="1"/>
  <c r="H26" i="2"/>
  <c r="H22" i="2"/>
  <c r="I22" i="2" s="1"/>
  <c r="H18" i="2"/>
  <c r="I18" i="2" s="1"/>
  <c r="D34" i="2"/>
  <c r="B9" i="4"/>
  <c r="B10" i="4"/>
  <c r="B6" i="4"/>
  <c r="B7" i="4"/>
  <c r="B8" i="4"/>
  <c r="J26" i="2" l="1"/>
  <c r="C9" i="4"/>
  <c r="C6" i="4"/>
  <c r="D6" i="4" s="1"/>
  <c r="C10" i="4"/>
  <c r="C7" i="4"/>
  <c r="C8" i="4"/>
  <c r="D8" i="4" s="1"/>
  <c r="D7" i="4" l="1"/>
  <c r="D10" i="4"/>
  <c r="D9" i="4"/>
  <c r="E10" i="4"/>
  <c r="E7" i="4"/>
  <c r="E9" i="4"/>
  <c r="E8" i="4"/>
  <c r="E6" i="4"/>
  <c r="B11" i="4" l="1"/>
  <c r="B12" i="4" s="1"/>
  <c r="B13" i="4" l="1"/>
  <c r="D12" i="4"/>
  <c r="E12" i="4" s="1"/>
  <c r="C12" i="4"/>
  <c r="D13" i="4" l="1"/>
  <c r="B14" i="4"/>
  <c r="E13" i="4" l="1"/>
  <c r="C13" i="4"/>
  <c r="B15" i="4"/>
  <c r="D14" i="4"/>
  <c r="E14" i="4" l="1"/>
  <c r="C14" i="4"/>
  <c r="B16" i="4"/>
  <c r="D15" i="4"/>
  <c r="E15" i="4" l="1"/>
  <c r="C15" i="4"/>
  <c r="B17" i="4"/>
  <c r="D16" i="4"/>
  <c r="H20" i="4" l="1"/>
  <c r="C16" i="4"/>
  <c r="E16" i="4"/>
  <c r="D17" i="4"/>
  <c r="B18" i="4"/>
  <c r="B19" i="4" l="1"/>
  <c r="D18" i="4"/>
  <c r="E17" i="4"/>
  <c r="C17" i="4"/>
  <c r="E18" i="4" l="1"/>
  <c r="C18" i="4"/>
  <c r="B20" i="4"/>
  <c r="D19" i="4"/>
  <c r="C19" i="4" l="1"/>
  <c r="E19" i="4"/>
  <c r="D20" i="4"/>
  <c r="B21" i="4"/>
  <c r="D21" i="4" l="1"/>
  <c r="B22" i="4"/>
  <c r="E20" i="4"/>
  <c r="C20" i="4"/>
  <c r="E21" i="4" l="1"/>
  <c r="C21" i="4"/>
  <c r="B23" i="4"/>
  <c r="D22" i="4"/>
  <c r="E22" i="4" l="1"/>
  <c r="C22" i="4"/>
  <c r="B24" i="4"/>
  <c r="D23" i="4"/>
  <c r="C23" i="4" l="1"/>
  <c r="E23" i="4"/>
  <c r="B25" i="4"/>
  <c r="D24" i="4"/>
  <c r="C24" i="4" l="1"/>
  <c r="E24" i="4"/>
  <c r="D25" i="4"/>
  <c r="B26" i="4"/>
  <c r="E25" i="4" l="1"/>
  <c r="C25" i="4"/>
  <c r="B27" i="4"/>
  <c r="D26" i="4"/>
  <c r="E26" i="4" l="1"/>
  <c r="C26" i="4"/>
  <c r="B28" i="4"/>
  <c r="D27" i="4"/>
  <c r="H19" i="4" l="1"/>
  <c r="D28" i="4"/>
  <c r="B29" i="4"/>
  <c r="E27" i="4"/>
  <c r="C27" i="4"/>
  <c r="E28" i="4" l="1"/>
  <c r="C28" i="4"/>
  <c r="D29" i="4"/>
  <c r="B30" i="4"/>
  <c r="E29" i="4" l="1"/>
  <c r="C29" i="4"/>
  <c r="B31" i="4"/>
  <c r="D30" i="4"/>
  <c r="H21" i="4" s="1"/>
  <c r="B32" i="4" l="1"/>
  <c r="D31" i="4"/>
  <c r="E30" i="4"/>
  <c r="C30" i="4"/>
  <c r="I20" i="4" l="1"/>
  <c r="B33" i="4"/>
  <c r="D32" i="4"/>
  <c r="E31" i="4"/>
  <c r="C31" i="4"/>
  <c r="H22" i="4" l="1"/>
  <c r="D33" i="4"/>
  <c r="B34" i="4"/>
  <c r="E32" i="4"/>
  <c r="C32" i="4"/>
  <c r="C33" i="4" l="1"/>
  <c r="E33" i="4"/>
  <c r="D34" i="4"/>
  <c r="B35" i="4"/>
  <c r="C34" i="4" l="1"/>
  <c r="E34" i="4"/>
  <c r="D35" i="4"/>
  <c r="B36" i="4"/>
  <c r="E35" i="4" l="1"/>
  <c r="C35" i="4"/>
  <c r="D36" i="4"/>
  <c r="I21" i="4" s="1"/>
  <c r="B37" i="4"/>
  <c r="D37" i="4" l="1"/>
  <c r="B38" i="4"/>
  <c r="C36" i="4"/>
  <c r="E36" i="4"/>
  <c r="E37" i="4" l="1"/>
  <c r="C37" i="4"/>
  <c r="D38" i="4"/>
  <c r="B39" i="4"/>
  <c r="D39" i="4" l="1"/>
  <c r="B40" i="4"/>
  <c r="C38" i="4"/>
  <c r="E38" i="4"/>
  <c r="C39" i="4" l="1"/>
  <c r="E39" i="4"/>
  <c r="B41" i="4"/>
  <c r="D40" i="4"/>
  <c r="D41" i="4" l="1"/>
  <c r="B42" i="4"/>
  <c r="C40" i="4"/>
  <c r="J19" i="4" s="1"/>
  <c r="E40" i="4"/>
  <c r="B20" i="2" l="1"/>
  <c r="B24" i="2"/>
  <c r="C41" i="4"/>
  <c r="E41" i="4"/>
  <c r="B43" i="4"/>
  <c r="D42" i="4"/>
  <c r="C42" i="4" l="1"/>
  <c r="E42" i="4"/>
  <c r="D43" i="4"/>
  <c r="B44" i="4"/>
  <c r="D44" i="4" l="1"/>
  <c r="B45" i="4"/>
  <c r="C43" i="4"/>
  <c r="E43" i="4"/>
  <c r="D45" i="4" l="1"/>
  <c r="B46" i="4"/>
  <c r="C44" i="4"/>
  <c r="E44" i="4"/>
  <c r="E45" i="4" l="1"/>
  <c r="C45" i="4"/>
  <c r="D46" i="4"/>
  <c r="B47" i="4"/>
  <c r="D47" i="4" l="1"/>
  <c r="B48" i="4"/>
  <c r="C46" i="4"/>
  <c r="E46" i="4"/>
  <c r="C47" i="4" l="1"/>
  <c r="E47" i="4"/>
  <c r="B49" i="4"/>
  <c r="D48" i="4"/>
  <c r="J21" i="4" s="1"/>
  <c r="C29" i="2" s="1"/>
  <c r="C34" i="2" s="1"/>
  <c r="C20" i="2" l="1"/>
  <c r="C24" i="2"/>
  <c r="E48" i="4"/>
  <c r="C48" i="4"/>
  <c r="D49" i="4"/>
  <c r="B50" i="4"/>
  <c r="C49" i="4" l="1"/>
  <c r="E49" i="4"/>
  <c r="B51" i="4"/>
  <c r="D50" i="4"/>
  <c r="D51" i="4" l="1"/>
  <c r="B52" i="4"/>
  <c r="C50" i="4"/>
  <c r="J20" i="4" s="1"/>
  <c r="E50" i="4"/>
  <c r="E29" i="2" l="1"/>
  <c r="E34" i="2" s="1"/>
  <c r="E20" i="2"/>
  <c r="E24" i="2"/>
  <c r="J22" i="2" s="1"/>
  <c r="B17" i="2"/>
  <c r="B21" i="2"/>
  <c r="B21" i="1"/>
  <c r="B17" i="1"/>
  <c r="I19" i="4"/>
  <c r="B25" i="1" s="1"/>
  <c r="D52" i="4"/>
  <c r="B53" i="4"/>
  <c r="C51" i="4"/>
  <c r="E51" i="4"/>
  <c r="B30" i="1" l="1"/>
  <c r="B34" i="2"/>
  <c r="B30" i="2"/>
  <c r="B25" i="2"/>
  <c r="B29" i="2"/>
  <c r="D53" i="4"/>
  <c r="B54" i="4"/>
  <c r="C52" i="4"/>
  <c r="E52" i="4"/>
  <c r="E53" i="4" l="1"/>
  <c r="C53" i="4"/>
  <c r="B55" i="4"/>
  <c r="D55" i="4" s="1"/>
  <c r="D54" i="4"/>
  <c r="C54" i="4" l="1"/>
  <c r="E54" i="4"/>
  <c r="C55" i="4"/>
  <c r="E5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tc={0235BCF7-F423-410C-AD78-31A725BD486C}</author>
  </authors>
  <commentList>
    <comment ref="F2" authorId="0" shapeId="0" xr:uid="{0235BCF7-F423-410C-AD78-31A725BD486C}">
      <text>
        <t>[Threaded comment]
Your version of Excel allows you to read this threaded comment; however, any edits to it will get removed if the file is opened in a newer version of Excel. Learn more: https://go.microsoft.com/fwlink/?linkid=870924
Comment:
    https://www.loom.com/share/c2207d8d80c643cf9517ca6e311b34ae?sid=4b417298-8b85-49a8-af86-79a75296277b</t>
      </text>
    </comment>
  </commentList>
</comments>
</file>

<file path=xl/sharedStrings.xml><?xml version="1.0" encoding="utf-8"?>
<sst xmlns="http://schemas.openxmlformats.org/spreadsheetml/2006/main" count="162" uniqueCount="100">
  <si>
    <t>Excel Skills Learned</t>
  </si>
  <si>
    <r>
      <rPr>
        <b/>
        <sz val="11"/>
        <color theme="1"/>
        <rFont val="Calibri"/>
        <family val="2"/>
        <scheme val="minor"/>
      </rPr>
      <t>Instructions</t>
    </r>
    <r>
      <rPr>
        <sz val="11"/>
        <color theme="1"/>
        <rFont val="Calibri"/>
        <family val="2"/>
        <scheme val="minor"/>
      </rPr>
      <t xml:space="preserve">: Open the tab labeled "Financial" and complete the tasks indicated there. Start by entering your name where indicated. Pay attention to the legend and note that the sheet is self-checking. </t>
    </r>
  </si>
  <si>
    <t>Upon completing the sheet, you should have an understanding of:</t>
  </si>
  <si>
    <t>Math Skills Learned</t>
  </si>
  <si>
    <t>1. Computing future value of an investment under various schemes: single investment with simple interest, single investment with compounded interest, and periodic investments with compounded interest.</t>
  </si>
  <si>
    <t>2. Computing total invested and interest earned.</t>
  </si>
  <si>
    <t>Enter you name here ⇒</t>
  </si>
  <si>
    <t>Use at least five letters.</t>
  </si>
  <si>
    <t>Legend</t>
  </si>
  <si>
    <t>If a cell is shaded</t>
  </si>
  <si>
    <t>You should</t>
  </si>
  <si>
    <t>If your formulas are correct, then your results should show</t>
  </si>
  <si>
    <t>Blue</t>
  </si>
  <si>
    <t>Enter a text response</t>
  </si>
  <si>
    <t xml:space="preserve">as  green on grey </t>
  </si>
  <si>
    <t>Green</t>
  </si>
  <si>
    <t>Enter a number</t>
  </si>
  <si>
    <t>Gold</t>
  </si>
  <si>
    <t>Enter an Excel formula</t>
  </si>
  <si>
    <t>Video for this template</t>
  </si>
  <si>
    <t>Any other color</t>
  </si>
  <si>
    <t>Make no changes</t>
  </si>
  <si>
    <t>Financial Calculator</t>
  </si>
  <si>
    <t>Here we will practice with some formulas that you will often need to use throughout this class. If you format these correctly, then the computed values should inherit the correct formatting.</t>
  </si>
  <si>
    <t>Formula</t>
  </si>
  <si>
    <t>Excel Equivalent</t>
  </si>
  <si>
    <t>Enter the Excel Formula with correct cell references.</t>
  </si>
  <si>
    <t>FV = P*(1 + r*t)</t>
  </si>
  <si>
    <t>Future Value of the Account</t>
  </si>
  <si>
    <t>Interest Earned (FV - P)</t>
  </si>
  <si>
    <t xml:space="preserve">P </t>
  </si>
  <si>
    <t>r</t>
  </si>
  <si>
    <t>n</t>
  </si>
  <si>
    <t>t</t>
  </si>
  <si>
    <t>FV = P*(1 + r/n)^(n*t)</t>
  </si>
  <si>
    <t>FV = P*((1 + r/n)^(n*t)-1)/(r/n)</t>
  </si>
  <si>
    <t>Total Invested (Tot = P*n*t)</t>
  </si>
  <si>
    <t>Interest Earned (FV - Tot)</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</si>
  <si>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</si>
  <si>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</si>
  <si>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</si>
  <si>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</si>
  <si>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</si>
  <si>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</si>
  <si>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</si>
  <si>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</si>
  <si>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</si>
  <si>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</si>
  <si>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</si>
  <si>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</si>
  <si>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</si>
  <si>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</si>
  <si>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</si>
  <si>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</si>
  <si>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</si>
  <si>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</si>
  <si>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</si>
  <si>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</si>
  <si>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</si>
  <si>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</si>
  <si>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</si>
  <si>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</si>
  <si>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</si>
  <si>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</si>
  <si>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</si>
  <si>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</si>
  <si>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</si>
  <si>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</si>
  <si>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</si>
  <si>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</si>
  <si>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</si>
  <si>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</si>
  <si>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</si>
  <si>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</si>
  <si>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</si>
  <si>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</si>
  <si>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</si>
  <si>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</si>
  <si>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</si>
  <si>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</si>
  <si>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</si>
  <si>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</si>
  <si>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</si>
  <si>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Richard</t>
  </si>
  <si>
    <t>Video for this formula</t>
  </si>
  <si>
    <t>Open this in Excel to complete the template.</t>
  </si>
  <si>
    <t>1. Entering the more complicated future value formulas, making sure to get all parentheses correct.</t>
  </si>
  <si>
    <t>Your Name Here!</t>
  </si>
  <si>
    <t>You must use the provided formulas. We do not accept the built-in =FV() and =PMT() for these financial problems.</t>
  </si>
  <si>
    <t>A formula was used, but the value is incorrect.</t>
  </si>
  <si>
    <t>A formula should have been used, and the value is incorrect.</t>
  </si>
  <si>
    <t>A formula should have been used, but the value is correct.</t>
  </si>
  <si>
    <t>A formula was used, and the value is correct.</t>
  </si>
  <si>
    <t>FV</t>
  </si>
  <si>
    <t>Monthly Contribution</t>
  </si>
  <si>
    <t>P= FV*(r/n)/((1 + r/n)^(n*t)-1)</t>
  </si>
  <si>
    <t>Monthly Contribution (P)</t>
  </si>
  <si>
    <t>3. Compute the amount you need to invest monthly in order to meet some future goal.</t>
  </si>
  <si>
    <t>Use this template to solve your ALEKS problems! It will save you a lot of time on your Topic 3 and 4 Homework and Review</t>
  </si>
  <si>
    <t xml:space="preserve">Enter you name here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</si>
</sst>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8">
    <font>
      <sz val="11"/>
      <color theme="1"/>
      <name val="Calibri"/>
      <family val="2"/>
      <scheme val="minor"/>
    </font>
    <font>
      <b/>
      <sz val="11"/>
      <color theme="1"/>
      <name val="Calibri"/>
      <family val="2"/>
      <scheme val="minor"/>
    </font>
    <font>
      <sz val="12"/>
      <color theme="1"/>
      <name val="Calibri"/>
      <family val="2"/>
      <scheme val="minor"/>
    </font>
    <font>
      <b/>
      <sz val="11"/>
      <color rgb="FF00B050"/>
      <name val="Calibri"/>
      <family val="2"/>
      <scheme val="minor"/>
    </font>
    <font>
      <sz val="10"/>
      <color rgb="FF000000"/>
      <name val="Arial Unicode MS"/>
    </font>
    <font>
      <sz val="8"/>
      <name val="Calibri"/>
      <family val="2"/>
      <scheme val="minor"/>
    </font>
    <font>
      <b/>
      <sz val="12"/>
      <color theme="0" tint="-4.9989318521683403E-2"/>
      <name val="Blackadder ITC"/>
      <family val="5"/>
    </font>
    <font>
      <b/>
      <sz val="20"/>
      <color theme="1"/>
      <name val="Calibri"/>
      <family val="2"/>
      <scheme val="minor"/>
    </font>
    <font>
      <u/>
      <sz val="12"/>
      <color theme="10"/>
      <name val="Calibri"/>
      <family val="2"/>
      <scheme val="minor"/>
    </font>
    <font>
      <b/>
      <u/>
      <sz val="14"/>
      <color theme="10"/>
      <name val="Calibri"/>
      <family val="2"/>
      <scheme val="minor"/>
    </font>
    <font>
      <b/>
      <u/>
      <sz val="12"/>
      <color theme="10"/>
      <name val="Calibri"/>
      <family val="2"/>
      <scheme val="minor"/>
    </font>
    <font>
      <b/>
      <sz val="11"/>
      <color rgb="FFFF0000"/>
      <name val="Calibri"/>
      <family val="2"/>
      <scheme val="minor"/>
    </font>
    <font>
      <sz val="11"/>
      <color rgb="FF7030A0"/>
      <name val="Calibri"/>
      <family val="2"/>
      <scheme val="minor"/>
    </font>
    <font>
      <b/>
      <sz val="11"/>
      <color rgb="FF7030A0"/>
      <name val="Calibri"/>
      <family val="2"/>
      <scheme val="minor"/>
    </font>
    <font>
      <b/>
      <sz val="14"/>
      <color theme="1"/>
      <name val="Calibri"/>
      <family val="2"/>
      <scheme val="minor"/>
    </font>
    <font>
      <b/>
      <sz val="14"/>
      <color theme="0" tint="-4.9989318521683403E-2"/>
      <name val="Baguet Script"/>
    </font>
    <font>
      <sz val="9"/>
      <color indexed="81"/>
      <name val="Tahoma"/>
      <charset val="1"/>
    </font>
    <font>
      <b/>
      <sz val="18"/>
      <color theme="10"/>
      <name val="Calibri"/>
      <family val="2"/>
      <scheme val="minor"/>
    </font>
  </fonts>
  <fills count="11">
    <fill>
      <patternFill patternType="none"/>
    </fill>
    <fill>
      <patternFill patternType="gray125"/>
    </fill>
    <fill>
      <patternFill patternType="solid">
        <fgColor theme="5"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rgb="FFFFFF00"/>
        <bgColor indexed="64"/>
      </patternFill>
    </fill>
    <fill>
      <patternFill patternType="solid">
        <fgColor theme="0" tint="-4.9989318521683403E-2"/>
        <bgColor indexed="64"/>
      </patternFill>
    </fill>
  </fills>
  <borders count="5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style="medium">
        <color indexed="64"/>
      </right>
      <top/>
      <bottom/>
      <diagonal/>
    </border>
    <border>
      <left style="thin">
        <color indexed="64"/>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style="thin">
        <color indexed="64"/>
      </left>
      <right style="thin">
        <color indexed="64"/>
      </right>
      <top style="thin">
        <color indexed="64"/>
      </top>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medium">
        <color indexed="64"/>
      </top>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2">
    <xf numFmtId="0" fontId="0" fillId="0" borderId="0"/>
    <xf numFmtId="0" fontId="8" fillId="0" borderId="0" applyNumberFormat="0" applyFill="0" applyBorder="0" applyAlignment="0" applyProtection="0"/>
  </cellStyleXfs>
  <cellXfs count="208">
    <xf numFmtId="0" fontId="0" fillId="0" borderId="0" xfId="0"/>
    <xf numFmtId="0" fontId="0" fillId="0" borderId="0" xfId="0" applyAlignment="1">
      <alignment horizontal="center"/>
    </xf>
    <xf numFmtId="0" fontId="1" fillId="0" borderId="0" xfId="0" applyFont="1"/>
    <xf numFmtId="0" fontId="2" fillId="4" borderId="11" xfId="0" applyFont="1" applyFill="1" applyBorder="1" applyAlignment="1" applyProtection="1">
      <alignment horizontal="center" vertical="center"/>
      <protection hidden="1"/>
    </xf>
    <xf numFmtId="0" fontId="2" fillId="4" borderId="12" xfId="0" applyFont="1" applyFill="1" applyBorder="1" applyAlignment="1" applyProtection="1">
      <alignment horizontal="center" vertical="center"/>
      <protection hidden="1"/>
    </xf>
    <xf numFmtId="0" fontId="2" fillId="5" borderId="11" xfId="0" applyFont="1" applyFill="1" applyBorder="1" applyAlignment="1" applyProtection="1">
      <alignment horizontal="center" vertical="center"/>
      <protection hidden="1"/>
    </xf>
    <xf numFmtId="0" fontId="2" fillId="0" borderId="12" xfId="0" applyFont="1" applyBorder="1" applyAlignment="1" applyProtection="1">
      <alignment horizontal="center" vertical="center"/>
      <protection hidden="1"/>
    </xf>
    <xf numFmtId="0" fontId="2" fillId="6" borderId="11" xfId="0" applyFont="1" applyFill="1" applyBorder="1" applyAlignment="1" applyProtection="1">
      <alignment horizontal="center" vertical="center"/>
      <protection hidden="1"/>
    </xf>
    <xf numFmtId="0" fontId="2" fillId="7" borderId="11" xfId="0" applyFont="1" applyFill="1" applyBorder="1" applyAlignment="1" applyProtection="1">
      <alignment horizontal="center" vertical="center"/>
      <protection hidden="1"/>
    </xf>
    <xf numFmtId="0" fontId="2" fillId="0" borderId="13"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0" fillId="2" borderId="17" xfId="0" applyFill="1" applyBorder="1" applyAlignment="1">
      <alignment horizontal="center"/>
    </xf>
    <xf numFmtId="0" fontId="0" fillId="2" borderId="18" xfId="0" applyFill="1" applyBorder="1" applyAlignment="1">
      <alignment horizontal="center"/>
    </xf>
    <xf numFmtId="0" fontId="1" fillId="0" borderId="0" xfId="0" applyFont="1" applyAlignment="1">
      <alignment vertical="center"/>
    </xf>
    <xf numFmtId="0" fontId="1" fillId="2" borderId="7" xfId="0" applyFont="1" applyFill="1" applyBorder="1" applyAlignment="1">
      <alignment horizontal="right" vertical="center"/>
    </xf>
    <xf numFmtId="0" fontId="0" fillId="0" borderId="0" xfId="0" applyAlignment="1">
      <alignment vertical="center" wrapText="1"/>
    </xf>
    <xf numFmtId="0" fontId="4" fillId="0" borderId="0" xfId="0" applyFont="1" applyAlignment="1">
      <alignment vertical="center"/>
    </xf>
    <xf numFmtId="2" fontId="0" fillId="0" borderId="0" xfId="0" applyNumberFormat="1"/>
    <xf numFmtId="0" fontId="0" fillId="0" borderId="0" xfId="0" applyAlignment="1">
      <alignment horizontal="center" vertical="center" wrapText="1"/>
    </xf>
    <xf numFmtId="0" fontId="0" fillId="3" borderId="25" xfId="0" applyFill="1" applyBorder="1" applyAlignment="1">
      <alignment horizontal="center"/>
    </xf>
    <xf numFmtId="0" fontId="6" fillId="8" borderId="7" xfId="0" applyFont="1" applyFill="1" applyBorder="1" applyAlignment="1">
      <alignment horizontal="center" vertical="center"/>
    </xf>
    <xf numFmtId="0" fontId="1" fillId="2" borderId="34"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9" fillId="0" borderId="0" xfId="1" applyFont="1" applyAlignment="1">
      <alignment vertical="center"/>
    </xf>
    <xf numFmtId="164" fontId="0" fillId="3" borderId="28" xfId="0" applyNumberFormat="1" applyFill="1" applyBorder="1" applyAlignment="1">
      <alignment horizontal="center"/>
    </xf>
    <xf numFmtId="10" fontId="0" fillId="3" borderId="25" xfId="0" applyNumberFormat="1" applyFill="1" applyBorder="1" applyAlignment="1">
      <alignment horizontal="center"/>
    </xf>
    <xf numFmtId="0" fontId="1" fillId="2" borderId="3" xfId="0" applyFont="1" applyFill="1" applyBorder="1" applyAlignment="1">
      <alignment horizontal="center" vertical="center" wrapText="1"/>
    </xf>
    <xf numFmtId="0" fontId="0" fillId="2" borderId="31" xfId="0" applyFill="1" applyBorder="1" applyAlignment="1">
      <alignment horizontal="center"/>
    </xf>
    <xf numFmtId="164" fontId="0" fillId="3" borderId="20" xfId="0" applyNumberFormat="1" applyFill="1" applyBorder="1" applyAlignment="1">
      <alignment horizontal="center"/>
    </xf>
    <xf numFmtId="10" fontId="0" fillId="3" borderId="21" xfId="0" applyNumberFormat="1" applyFill="1" applyBorder="1" applyAlignment="1">
      <alignment horizontal="center"/>
    </xf>
    <xf numFmtId="0" fontId="0" fillId="3" borderId="21" xfId="0" applyFill="1" applyBorder="1" applyAlignment="1">
      <alignment horizontal="center"/>
    </xf>
    <xf numFmtId="0" fontId="0" fillId="3" borderId="22" xfId="0" applyFill="1" applyBorder="1" applyAlignment="1">
      <alignment horizontal="center"/>
    </xf>
    <xf numFmtId="0" fontId="1" fillId="2" borderId="34" xfId="0" applyFont="1" applyFill="1" applyBorder="1" applyAlignment="1">
      <alignment horizontal="center" vertical="center" wrapText="1"/>
    </xf>
    <xf numFmtId="0" fontId="1" fillId="2" borderId="34" xfId="0" applyFont="1" applyFill="1" applyBorder="1" applyAlignment="1">
      <alignment horizontal="center" vertical="center"/>
    </xf>
    <xf numFmtId="0" fontId="1" fillId="2" borderId="37" xfId="0" applyFont="1" applyFill="1" applyBorder="1" applyAlignment="1">
      <alignment horizontal="center" vertical="center"/>
    </xf>
    <xf numFmtId="0" fontId="1" fillId="2" borderId="37" xfId="0" applyFont="1" applyFill="1" applyBorder="1" applyAlignment="1">
      <alignment horizontal="center"/>
    </xf>
    <xf numFmtId="0" fontId="1" fillId="2" borderId="37"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0" borderId="0" xfId="0" applyBorder="1" applyAlignment="1" applyProtection="1">
      <protection locked="0"/>
    </xf>
    <xf numFmtId="0" fontId="0" fillId="0" borderId="0" xfId="0" applyBorder="1" applyAlignment="1" applyProtection="1">
      <alignment vertical="center"/>
      <protection locked="0"/>
    </xf>
    <xf numFmtId="164" fontId="0" fillId="0" borderId="0" xfId="0" applyNumberFormat="1" applyAlignment="1">
      <alignment horizontal="center" vertical="center" wrapText="1"/>
    </xf>
    <xf numFmtId="0" fontId="0" fillId="0" borderId="0" xfId="0" applyProtection="1">
      <protection hidden="1"/>
    </xf>
    <xf numFmtId="0" fontId="0" fillId="7" borderId="17" xfId="0" applyFill="1" applyBorder="1" applyAlignment="1" applyProtection="1">
      <alignment horizontal="center"/>
      <protection hidden="1"/>
    </xf>
    <xf numFmtId="0" fontId="0" fillId="0" borderId="0" xfId="0" applyBorder="1" applyAlignment="1" applyProtection="1">
      <protection hidden="1"/>
    </xf>
    <xf numFmtId="0" fontId="0" fillId="9" borderId="41" xfId="0" applyFill="1" applyBorder="1" applyAlignment="1" applyProtection="1">
      <alignment horizontal="center"/>
      <protection hidden="1"/>
    </xf>
    <xf numFmtId="0" fontId="0" fillId="0" borderId="0" xfId="0" applyBorder="1" applyAlignment="1" applyProtection="1">
      <alignment vertical="center"/>
      <protection hidden="1"/>
    </xf>
    <xf numFmtId="0" fontId="3" fillId="9" borderId="41" xfId="0" applyFont="1" applyFill="1" applyBorder="1" applyAlignment="1" applyProtection="1">
      <alignment horizontal="center"/>
      <protection hidden="1"/>
    </xf>
    <xf numFmtId="0" fontId="3" fillId="7" borderId="20" xfId="0" applyFont="1" applyFill="1" applyBorder="1" applyAlignment="1" applyProtection="1">
      <alignment horizontal="center" vertical="center"/>
      <protection hidden="1"/>
    </xf>
    <xf numFmtId="0" fontId="1" fillId="0" borderId="0" xfId="0" applyFont="1" applyAlignment="1" applyProtection="1">
      <alignment vertical="center"/>
      <protection hidden="1"/>
    </xf>
    <xf numFmtId="0" fontId="0" fillId="0" borderId="0" xfId="0" applyAlignment="1" applyProtection="1">
      <alignment horizontal="center"/>
      <protection hidden="1"/>
    </xf>
    <xf numFmtId="0" fontId="1" fillId="0" borderId="0" xfId="0" applyFont="1" applyProtection="1">
      <protection hidden="1"/>
    </xf>
    <xf numFmtId="0" fontId="1" fillId="2" borderId="34" xfId="0" applyFont="1" applyFill="1" applyBorder="1" applyAlignment="1" applyProtection="1">
      <alignment horizontal="center" vertical="center" wrapText="1"/>
      <protection hidden="1"/>
    </xf>
    <xf numFmtId="0" fontId="1" fillId="2" borderId="34" xfId="0" applyFont="1" applyFill="1" applyBorder="1" applyAlignment="1" applyProtection="1">
      <alignment horizontal="center" vertical="center"/>
      <protection hidden="1"/>
    </xf>
    <xf numFmtId="0" fontId="1" fillId="2" borderId="37" xfId="0" applyFont="1" applyFill="1" applyBorder="1" applyAlignment="1" applyProtection="1">
      <alignment horizontal="center" vertical="center" wrapText="1"/>
      <protection hidden="1"/>
    </xf>
    <xf numFmtId="0" fontId="1" fillId="2" borderId="37" xfId="0" applyFont="1" applyFill="1" applyBorder="1" applyAlignment="1" applyProtection="1">
      <alignment horizontal="center" vertical="center"/>
      <protection hidden="1"/>
    </xf>
    <xf numFmtId="0" fontId="1" fillId="2" borderId="3" xfId="0" applyFont="1" applyFill="1" applyBorder="1" applyAlignment="1" applyProtection="1">
      <alignment horizontal="center" vertical="center" wrapText="1"/>
      <protection hidden="1"/>
    </xf>
    <xf numFmtId="0" fontId="1" fillId="0" borderId="0" xfId="0" applyFont="1" applyProtection="1">
      <protection locked="0"/>
    </xf>
    <xf numFmtId="0" fontId="0" fillId="0" borderId="0" xfId="0" applyProtection="1">
      <protection locked="0"/>
    </xf>
    <xf numFmtId="0" fontId="12" fillId="0" borderId="0" xfId="0" applyFont="1" applyProtection="1">
      <protection locked="0"/>
    </xf>
    <xf numFmtId="0" fontId="0" fillId="0" borderId="0" xfId="0" applyAlignment="1" applyProtection="1">
      <alignment horizontal="center" vertical="center" wrapText="1"/>
      <protection locked="0"/>
    </xf>
    <xf numFmtId="0" fontId="0" fillId="0" borderId="0" xfId="0" applyAlignment="1" applyProtection="1">
      <alignment vertical="center" wrapText="1"/>
      <protection locked="0"/>
    </xf>
    <xf numFmtId="0" fontId="0" fillId="0" borderId="0" xfId="0" applyAlignment="1" applyProtection="1">
      <alignment horizontal="center"/>
      <protection locked="0"/>
    </xf>
    <xf numFmtId="0" fontId="1" fillId="0" borderId="0" xfId="0" applyFont="1" applyAlignment="1" applyProtection="1">
      <alignment vertical="center"/>
      <protection locked="0"/>
    </xf>
    <xf numFmtId="0" fontId="14" fillId="0" borderId="0" xfId="0" applyFont="1"/>
    <xf numFmtId="0" fontId="1" fillId="2" borderId="18" xfId="0" applyFont="1" applyFill="1" applyBorder="1" applyAlignment="1" applyProtection="1">
      <alignment horizontal="center" vertical="center"/>
      <protection hidden="1"/>
    </xf>
    <xf numFmtId="0" fontId="0" fillId="0" borderId="0" xfId="0" applyAlignment="1" applyProtection="1">
      <alignment horizontal="center" vertical="center"/>
      <protection locked="0"/>
    </xf>
    <xf numFmtId="0" fontId="1" fillId="2" borderId="49" xfId="0" applyFont="1" applyFill="1" applyBorder="1" applyAlignment="1">
      <alignment horizontal="center" vertical="center"/>
    </xf>
    <xf numFmtId="0" fontId="15" fillId="8" borderId="50" xfId="0" applyFont="1" applyFill="1" applyBorder="1" applyAlignment="1" applyProtection="1">
      <alignment horizontal="center" vertical="center"/>
      <protection locked="0"/>
    </xf>
    <xf numFmtId="0" fontId="1" fillId="2" borderId="17" xfId="0" applyFont="1" applyFill="1" applyBorder="1" applyAlignment="1" applyProtection="1">
      <alignment horizontal="center" vertical="center"/>
      <protection hidden="1"/>
    </xf>
    <xf numFmtId="0" fontId="1" fillId="2" borderId="31" xfId="0" applyFont="1" applyFill="1" applyBorder="1" applyAlignment="1" applyProtection="1">
      <alignment horizontal="center" vertical="center"/>
      <protection hidden="1"/>
    </xf>
    <xf numFmtId="0" fontId="1" fillId="2" borderId="19" xfId="0" applyFont="1" applyFill="1" applyBorder="1" applyAlignment="1" applyProtection="1">
      <alignment horizontal="center" vertical="center"/>
      <protection hidden="1"/>
    </xf>
    <xf numFmtId="164" fontId="0" fillId="3" borderId="28" xfId="0" applyNumberFormat="1" applyFill="1" applyBorder="1" applyAlignment="1" applyProtection="1">
      <alignment horizontal="center" vertical="center"/>
      <protection locked="0"/>
    </xf>
    <xf numFmtId="10" fontId="0" fillId="3" borderId="25" xfId="0" applyNumberFormat="1" applyFill="1" applyBorder="1" applyAlignment="1" applyProtection="1">
      <alignment horizontal="center" vertical="center"/>
      <protection locked="0"/>
    </xf>
    <xf numFmtId="0" fontId="0" fillId="3" borderId="25" xfId="0" applyFill="1" applyBorder="1" applyAlignment="1" applyProtection="1">
      <alignment horizontal="center" vertical="center"/>
      <protection locked="0"/>
    </xf>
    <xf numFmtId="164" fontId="0" fillId="3" borderId="20" xfId="0" applyNumberFormat="1" applyFill="1" applyBorder="1" applyAlignment="1" applyProtection="1">
      <alignment horizontal="center" vertical="center"/>
      <protection locked="0"/>
    </xf>
    <xf numFmtId="10" fontId="0" fillId="3" borderId="21" xfId="0" applyNumberFormat="1" applyFill="1" applyBorder="1" applyAlignment="1" applyProtection="1">
      <alignment horizontal="center" vertical="center"/>
      <protection locked="0"/>
    </xf>
    <xf numFmtId="0" fontId="0" fillId="3" borderId="21" xfId="0" applyFill="1" applyBorder="1" applyAlignment="1" applyProtection="1">
      <alignment horizontal="center" vertical="center"/>
      <protection locked="0"/>
    </xf>
    <xf numFmtId="0" fontId="0" fillId="3" borderId="22" xfId="0" applyFill="1" applyBorder="1" applyAlignment="1" applyProtection="1">
      <alignment horizontal="center" vertical="center"/>
      <protection locked="0"/>
    </xf>
    <xf numFmtId="0" fontId="0" fillId="2" borderId="1" xfId="0" applyFill="1" applyBorder="1" applyAlignment="1">
      <alignment horizontal="left" vertical="center" wrapText="1" indent="1"/>
    </xf>
    <xf numFmtId="0" fontId="0" fillId="2" borderId="2"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8" xfId="0" applyFill="1" applyBorder="1" applyAlignment="1">
      <alignment horizontal="left" vertical="center" wrapText="1" indent="1"/>
    </xf>
    <xf numFmtId="0" fontId="0" fillId="2" borderId="0" xfId="0" applyFill="1" applyAlignment="1">
      <alignment horizontal="left" vertical="center" wrapText="1" indent="1"/>
    </xf>
    <xf numFmtId="0" fontId="0" fillId="2" borderId="15" xfId="0" applyFill="1" applyBorder="1" applyAlignment="1">
      <alignment horizontal="left" vertical="center" wrapText="1" indent="1"/>
    </xf>
    <xf numFmtId="0" fontId="0" fillId="2" borderId="4" xfId="0" applyFill="1" applyBorder="1" applyAlignment="1">
      <alignment horizontal="left" vertical="center" wrapText="1" indent="1"/>
    </xf>
    <xf numFmtId="0" fontId="0" fillId="2" borderId="5" xfId="0" applyFill="1" applyBorder="1" applyAlignment="1">
      <alignment horizontal="left" vertical="center" wrapText="1" indent="1"/>
    </xf>
    <xf numFmtId="0" fontId="0" fillId="2" borderId="6" xfId="0" applyFill="1" applyBorder="1" applyAlignment="1">
      <alignment horizontal="left" vertical="center" wrapText="1" indent="1"/>
    </xf>
    <xf numFmtId="164" fontId="0" fillId="7" borderId="3" xfId="0" applyNumberFormat="1" applyFill="1" applyBorder="1" applyAlignment="1" applyProtection="1">
      <alignment horizontal="center" vertical="center" wrapText="1"/>
      <protection locked="0"/>
    </xf>
    <xf numFmtId="164" fontId="0" fillId="7" borderId="15" xfId="0" applyNumberFormat="1" applyFill="1" applyBorder="1" applyAlignment="1" applyProtection="1">
      <alignment horizontal="center" vertical="center" wrapText="1"/>
      <protection locked="0"/>
    </xf>
    <xf numFmtId="164" fontId="0" fillId="7" borderId="6" xfId="0" applyNumberFormat="1" applyFill="1" applyBorder="1" applyAlignment="1" applyProtection="1">
      <alignment horizontal="center" vertical="center" wrapText="1"/>
      <protection locked="0"/>
    </xf>
    <xf numFmtId="0" fontId="13" fillId="10" borderId="1" xfId="0" applyFont="1" applyFill="1" applyBorder="1" applyAlignment="1" applyProtection="1">
      <alignment horizontal="left" vertical="center" wrapText="1" indent="1"/>
      <protection hidden="1"/>
    </xf>
    <xf numFmtId="0" fontId="13" fillId="10" borderId="3" xfId="0" applyFont="1" applyFill="1" applyBorder="1" applyAlignment="1" applyProtection="1">
      <alignment horizontal="left" vertical="center" wrapText="1" indent="1"/>
      <protection hidden="1"/>
    </xf>
    <xf numFmtId="0" fontId="13" fillId="10" borderId="8" xfId="0" applyFont="1" applyFill="1" applyBorder="1" applyAlignment="1" applyProtection="1">
      <alignment horizontal="left" vertical="center" wrapText="1" indent="1"/>
      <protection hidden="1"/>
    </xf>
    <xf numFmtId="0" fontId="13" fillId="10" borderId="15" xfId="0" applyFont="1" applyFill="1" applyBorder="1" applyAlignment="1" applyProtection="1">
      <alignment horizontal="left" vertical="center" wrapText="1" indent="1"/>
      <protection hidden="1"/>
    </xf>
    <xf numFmtId="0" fontId="13" fillId="10" borderId="4" xfId="0" applyFont="1" applyFill="1" applyBorder="1" applyAlignment="1" applyProtection="1">
      <alignment horizontal="left" vertical="center" wrapText="1" indent="1"/>
      <protection hidden="1"/>
    </xf>
    <xf numFmtId="0" fontId="13" fillId="10" borderId="6" xfId="0" applyFont="1" applyFill="1" applyBorder="1" applyAlignment="1" applyProtection="1">
      <alignment horizontal="left" vertical="center" wrapText="1" indent="1"/>
      <protection hidden="1"/>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2" borderId="8" xfId="0" applyFill="1" applyBorder="1" applyAlignment="1" applyProtection="1">
      <alignment horizontal="left" vertical="center" wrapText="1" indent="1"/>
      <protection hidden="1"/>
    </xf>
    <xf numFmtId="0" fontId="0" fillId="2" borderId="0" xfId="0" applyFill="1" applyAlignment="1" applyProtection="1">
      <alignment horizontal="left" vertical="center" wrapText="1" indent="1"/>
      <protection hidden="1"/>
    </xf>
    <xf numFmtId="0" fontId="0" fillId="2" borderId="4" xfId="0" applyFill="1" applyBorder="1" applyAlignment="1" applyProtection="1">
      <alignment horizontal="left" vertical="center" wrapText="1" indent="1"/>
      <protection hidden="1"/>
    </xf>
    <xf numFmtId="0" fontId="0" fillId="2" borderId="5" xfId="0" applyFill="1" applyBorder="1" applyAlignment="1" applyProtection="1">
      <alignment horizontal="left" vertical="center" wrapText="1" indent="1"/>
      <protection hidden="1"/>
    </xf>
    <xf numFmtId="0" fontId="0" fillId="0" borderId="37" xfId="0" applyBorder="1" applyAlignment="1" applyProtection="1">
      <alignment horizontal="center"/>
      <protection hidden="1"/>
    </xf>
    <xf numFmtId="0" fontId="0" fillId="0" borderId="38" xfId="0" applyBorder="1" applyAlignment="1" applyProtection="1">
      <alignment horizontal="center"/>
      <protection hidden="1"/>
    </xf>
    <xf numFmtId="0" fontId="0" fillId="0" borderId="39" xfId="0" applyBorder="1" applyAlignment="1" applyProtection="1">
      <alignment horizontal="center"/>
      <protection hidden="1"/>
    </xf>
    <xf numFmtId="0" fontId="0" fillId="0" borderId="37" xfId="0" applyBorder="1" applyAlignment="1" applyProtection="1">
      <alignment horizontal="center" vertical="center"/>
      <protection hidden="1"/>
    </xf>
    <xf numFmtId="0" fontId="0" fillId="0" borderId="38" xfId="0" applyBorder="1" applyAlignment="1" applyProtection="1">
      <alignment horizontal="center" vertical="center"/>
      <protection hidden="1"/>
    </xf>
    <xf numFmtId="0" fontId="0" fillId="0" borderId="39" xfId="0" applyBorder="1" applyAlignment="1" applyProtection="1">
      <alignment horizontal="center" vertical="center"/>
      <protection hidden="1"/>
    </xf>
    <xf numFmtId="164" fontId="0" fillId="7" borderId="37" xfId="0" applyNumberFormat="1" applyFill="1" applyBorder="1" applyAlignment="1" applyProtection="1">
      <alignment horizontal="center" vertical="center"/>
      <protection locked="0"/>
    </xf>
    <xf numFmtId="164" fontId="0" fillId="7" borderId="38" xfId="0" applyNumberFormat="1" applyFill="1" applyBorder="1" applyAlignment="1" applyProtection="1">
      <alignment horizontal="center" vertical="center"/>
      <protection locked="0"/>
    </xf>
    <xf numFmtId="164" fontId="0" fillId="7" borderId="39" xfId="0" applyNumberFormat="1" applyFill="1" applyBorder="1" applyAlignment="1" applyProtection="1">
      <alignment horizontal="center" vertical="center"/>
      <protection locked="0"/>
    </xf>
    <xf numFmtId="164" fontId="0" fillId="7" borderId="37" xfId="0" applyNumberFormat="1" applyFill="1" applyBorder="1" applyAlignment="1" applyProtection="1">
      <alignment horizontal="center" vertical="center" wrapText="1"/>
      <protection locked="0"/>
    </xf>
    <xf numFmtId="164" fontId="0" fillId="7" borderId="38" xfId="0" applyNumberFormat="1" applyFill="1" applyBorder="1" applyAlignment="1" applyProtection="1">
      <alignment horizontal="center" vertical="center" wrapText="1"/>
      <protection locked="0"/>
    </xf>
    <xf numFmtId="164" fontId="0" fillId="7" borderId="39" xfId="0" applyNumberFormat="1" applyFill="1" applyBorder="1" applyAlignment="1" applyProtection="1">
      <alignment horizontal="center" vertical="center" wrapText="1"/>
      <protection locked="0"/>
    </xf>
    <xf numFmtId="0" fontId="1" fillId="0" borderId="8" xfId="0" applyFont="1" applyBorder="1" applyAlignment="1" applyProtection="1">
      <alignment horizontal="center"/>
      <protection locked="0"/>
    </xf>
    <xf numFmtId="0" fontId="0" fillId="2" borderId="26" xfId="0" applyFill="1" applyBorder="1" applyAlignment="1" applyProtection="1">
      <alignment horizontal="left" vertical="center" wrapText="1" indent="1"/>
      <protection hidden="1"/>
    </xf>
    <xf numFmtId="0" fontId="0" fillId="2" borderId="24" xfId="0" applyFill="1" applyBorder="1" applyAlignment="1" applyProtection="1">
      <alignment horizontal="left" vertical="center" wrapText="1" indent="1"/>
      <protection hidden="1"/>
    </xf>
    <xf numFmtId="0" fontId="0" fillId="2" borderId="3" xfId="0" applyFill="1" applyBorder="1" applyAlignment="1" applyProtection="1">
      <alignment horizontal="left" vertical="center" wrapText="1" indent="1"/>
      <protection hidden="1"/>
    </xf>
    <xf numFmtId="0" fontId="0" fillId="2" borderId="6" xfId="0" applyFill="1" applyBorder="1" applyAlignment="1" applyProtection="1">
      <alignment horizontal="left" vertical="center" wrapText="1" indent="1"/>
      <protection hidden="1"/>
    </xf>
    <xf numFmtId="0" fontId="1" fillId="0" borderId="26" xfId="0" applyFont="1" applyBorder="1" applyAlignment="1" applyProtection="1">
      <alignment horizontal="center" vertical="center"/>
      <protection hidden="1"/>
    </xf>
    <xf numFmtId="0" fontId="1" fillId="0" borderId="23" xfId="0" applyFont="1" applyBorder="1" applyAlignment="1" applyProtection="1">
      <alignment horizontal="center" vertical="center"/>
      <protection hidden="1"/>
    </xf>
    <xf numFmtId="0" fontId="1" fillId="0" borderId="24" xfId="0" applyFont="1" applyBorder="1" applyAlignment="1" applyProtection="1">
      <alignment horizontal="center" vertical="center"/>
      <protection hidden="1"/>
    </xf>
    <xf numFmtId="0" fontId="0" fillId="0" borderId="30" xfId="0" applyBorder="1" applyAlignment="1" applyProtection="1">
      <alignment horizontal="center" vertical="center"/>
      <protection hidden="1"/>
    </xf>
    <xf numFmtId="0" fontId="0" fillId="0" borderId="16" xfId="0" applyBorder="1" applyAlignment="1" applyProtection="1">
      <alignment horizontal="center" vertical="center"/>
      <protection hidden="1"/>
    </xf>
    <xf numFmtId="0" fontId="0" fillId="0" borderId="40" xfId="0" applyBorder="1" applyAlignment="1" applyProtection="1">
      <alignment horizontal="center" vertical="center"/>
      <protection hidden="1"/>
    </xf>
    <xf numFmtId="0" fontId="1" fillId="2" borderId="51" xfId="0" applyFont="1" applyFill="1" applyBorder="1" applyAlignment="1">
      <alignment horizontal="center" vertical="center"/>
    </xf>
    <xf numFmtId="0" fontId="1" fillId="2" borderId="48" xfId="0" applyFont="1" applyFill="1" applyBorder="1" applyAlignment="1">
      <alignment horizontal="center" vertical="center"/>
    </xf>
    <xf numFmtId="0" fontId="1" fillId="2" borderId="19" xfId="0" applyFont="1" applyFill="1" applyBorder="1" applyAlignment="1" applyProtection="1">
      <alignment horizontal="center" vertical="center" wrapText="1"/>
      <protection hidden="1"/>
    </xf>
    <xf numFmtId="0" fontId="1" fillId="2" borderId="29" xfId="0" applyFont="1" applyFill="1" applyBorder="1" applyAlignment="1" applyProtection="1">
      <alignment horizontal="center" vertical="center" wrapText="1"/>
      <protection hidden="1"/>
    </xf>
    <xf numFmtId="0" fontId="1" fillId="2" borderId="27" xfId="0" applyFont="1" applyFill="1" applyBorder="1" applyAlignment="1" applyProtection="1">
      <alignment horizontal="center" vertical="center"/>
      <protection hidden="1"/>
    </xf>
    <xf numFmtId="0" fontId="1" fillId="2" borderId="35" xfId="0" applyFont="1" applyFill="1" applyBorder="1" applyAlignment="1" applyProtection="1">
      <alignment horizontal="center" vertical="center"/>
      <protection hidden="1"/>
    </xf>
    <xf numFmtId="0" fontId="1" fillId="2" borderId="18" xfId="0" applyFont="1" applyFill="1" applyBorder="1" applyAlignment="1" applyProtection="1">
      <alignment horizontal="center" vertical="center"/>
      <protection hidden="1"/>
    </xf>
    <xf numFmtId="0" fontId="1" fillId="2" borderId="25" xfId="0" applyFont="1" applyFill="1" applyBorder="1" applyAlignment="1" applyProtection="1">
      <alignment horizontal="center" vertical="center"/>
      <protection hidden="1"/>
    </xf>
    <xf numFmtId="0" fontId="0" fillId="0" borderId="31" xfId="0" applyBorder="1" applyAlignment="1" applyProtection="1">
      <alignment horizontal="left" indent="1"/>
      <protection hidden="1"/>
    </xf>
    <xf numFmtId="0" fontId="0" fillId="0" borderId="44" xfId="0" applyBorder="1" applyAlignment="1" applyProtection="1">
      <alignment horizontal="left" indent="1"/>
      <protection hidden="1"/>
    </xf>
    <xf numFmtId="0" fontId="0" fillId="0" borderId="42" xfId="0" applyBorder="1" applyAlignment="1" applyProtection="1">
      <alignment horizontal="left" vertical="center" indent="1"/>
      <protection hidden="1"/>
    </xf>
    <xf numFmtId="0" fontId="0" fillId="0" borderId="45" xfId="0" applyBorder="1" applyAlignment="1" applyProtection="1">
      <alignment horizontal="left" vertical="center" indent="1"/>
      <protection hidden="1"/>
    </xf>
    <xf numFmtId="0" fontId="0" fillId="0" borderId="42" xfId="0" applyBorder="1" applyAlignment="1" applyProtection="1">
      <alignment horizontal="left" indent="1"/>
      <protection hidden="1"/>
    </xf>
    <xf numFmtId="0" fontId="0" fillId="0" borderId="45" xfId="0" applyBorder="1" applyAlignment="1" applyProtection="1">
      <alignment horizontal="left" indent="1"/>
      <protection hidden="1"/>
    </xf>
    <xf numFmtId="0" fontId="0" fillId="0" borderId="43" xfId="0" applyBorder="1" applyAlignment="1" applyProtection="1">
      <alignment horizontal="left" vertical="center" indent="1"/>
      <protection hidden="1"/>
    </xf>
    <xf numFmtId="0" fontId="0" fillId="0" borderId="46" xfId="0" applyBorder="1" applyAlignment="1" applyProtection="1">
      <alignment horizontal="left" vertical="center" indent="1"/>
      <protection hidden="1"/>
    </xf>
    <xf numFmtId="0" fontId="11" fillId="10" borderId="1" xfId="0" applyFont="1" applyFill="1" applyBorder="1" applyAlignment="1" applyProtection="1">
      <alignment horizontal="center" wrapText="1"/>
      <protection hidden="1"/>
    </xf>
    <xf numFmtId="0" fontId="11" fillId="10" borderId="2" xfId="0" applyFont="1" applyFill="1" applyBorder="1" applyAlignment="1" applyProtection="1">
      <alignment horizontal="center" wrapText="1"/>
      <protection hidden="1"/>
    </xf>
    <xf numFmtId="0" fontId="11" fillId="10" borderId="3" xfId="0" applyFont="1" applyFill="1" applyBorder="1" applyAlignment="1" applyProtection="1">
      <alignment horizontal="center" wrapText="1"/>
      <protection hidden="1"/>
    </xf>
    <xf numFmtId="0" fontId="11" fillId="10" borderId="4" xfId="0" applyFont="1" applyFill="1" applyBorder="1" applyAlignment="1" applyProtection="1">
      <alignment horizontal="center" wrapText="1"/>
      <protection hidden="1"/>
    </xf>
    <xf numFmtId="0" fontId="11" fillId="10" borderId="5" xfId="0" applyFont="1" applyFill="1" applyBorder="1" applyAlignment="1" applyProtection="1">
      <alignment horizontal="center" wrapText="1"/>
      <protection hidden="1"/>
    </xf>
    <xf numFmtId="0" fontId="11" fillId="10" borderId="6" xfId="0" applyFont="1" applyFill="1" applyBorder="1" applyAlignment="1" applyProtection="1">
      <alignment horizontal="center" wrapText="1"/>
      <protection hidden="1"/>
    </xf>
    <xf numFmtId="0" fontId="2" fillId="2" borderId="9" xfId="0" applyFont="1" applyFill="1" applyBorder="1" applyAlignment="1" applyProtection="1">
      <alignment horizontal="center" vertical="center"/>
      <protection hidden="1"/>
    </xf>
    <xf numFmtId="0" fontId="2" fillId="2" borderId="10" xfId="0" applyFont="1" applyFill="1" applyBorder="1" applyAlignment="1" applyProtection="1">
      <alignment horizontal="center" vertical="center"/>
      <protection hidden="1"/>
    </xf>
    <xf numFmtId="0" fontId="0" fillId="2" borderId="15" xfId="0" applyFill="1" applyBorder="1" applyAlignment="1" applyProtection="1">
      <alignment horizontal="left" vertical="center" wrapText="1" indent="1"/>
      <protection hidden="1"/>
    </xf>
    <xf numFmtId="0" fontId="1" fillId="2" borderId="2" xfId="0" applyFont="1" applyFill="1" applyBorder="1" applyAlignment="1" applyProtection="1">
      <alignment horizontal="center" vertical="center"/>
      <protection hidden="1"/>
    </xf>
    <xf numFmtId="0" fontId="1" fillId="2" borderId="3" xfId="0" applyFont="1" applyFill="1" applyBorder="1" applyAlignment="1" applyProtection="1">
      <alignment horizontal="center" vertical="center"/>
      <protection hidden="1"/>
    </xf>
    <xf numFmtId="0" fontId="1" fillId="2" borderId="4" xfId="0" applyFont="1" applyFill="1" applyBorder="1" applyAlignment="1" applyProtection="1">
      <alignment horizontal="center" vertical="center"/>
      <protection hidden="1"/>
    </xf>
    <xf numFmtId="0" fontId="1" fillId="2" borderId="5" xfId="0" applyFont="1" applyFill="1" applyBorder="1" applyAlignment="1" applyProtection="1">
      <alignment horizontal="center" vertical="center"/>
      <protection hidden="1"/>
    </xf>
    <xf numFmtId="0" fontId="1" fillId="2" borderId="6" xfId="0" applyFont="1" applyFill="1" applyBorder="1" applyAlignment="1" applyProtection="1">
      <alignment horizontal="center" vertical="center"/>
      <protection hidden="1"/>
    </xf>
    <xf numFmtId="0" fontId="0" fillId="0" borderId="32" xfId="0" applyBorder="1" applyAlignment="1" applyProtection="1">
      <alignment horizontal="center"/>
      <protection hidden="1"/>
    </xf>
    <xf numFmtId="0" fontId="0" fillId="0" borderId="36" xfId="0" applyBorder="1" applyAlignment="1" applyProtection="1">
      <alignment horizontal="center"/>
      <protection hidden="1"/>
    </xf>
    <xf numFmtId="0" fontId="0" fillId="0" borderId="33" xfId="0" applyBorder="1" applyAlignment="1" applyProtection="1">
      <alignment horizontal="center"/>
      <protection hidden="1"/>
    </xf>
    <xf numFmtId="164" fontId="0" fillId="7" borderId="3" xfId="0" applyNumberFormat="1" applyFill="1" applyBorder="1" applyAlignment="1">
      <alignment horizontal="center" vertical="center" wrapText="1"/>
    </xf>
    <xf numFmtId="164" fontId="0" fillId="7" borderId="15" xfId="0" applyNumberFormat="1" applyFill="1" applyBorder="1" applyAlignment="1">
      <alignment horizontal="center" vertical="center" wrapText="1"/>
    </xf>
    <xf numFmtId="164" fontId="0" fillId="7" borderId="6" xfId="0" applyNumberFormat="1" applyFill="1" applyBorder="1" applyAlignment="1">
      <alignment horizontal="center" vertical="center" wrapText="1"/>
    </xf>
    <xf numFmtId="0" fontId="0" fillId="0" borderId="37" xfId="0" applyBorder="1" applyAlignment="1">
      <alignment horizontal="center"/>
    </xf>
    <xf numFmtId="0" fontId="0" fillId="0" borderId="38" xfId="0" applyBorder="1" applyAlignment="1">
      <alignment horizontal="center"/>
    </xf>
    <xf numFmtId="0" fontId="0" fillId="0" borderId="39" xfId="0" applyBorder="1" applyAlignment="1">
      <alignment horizontal="center"/>
    </xf>
    <xf numFmtId="0" fontId="0" fillId="0" borderId="37" xfId="0" applyBorder="1" applyAlignment="1">
      <alignment horizontal="center" vertical="center"/>
    </xf>
    <xf numFmtId="0" fontId="0" fillId="0" borderId="38" xfId="0" applyBorder="1" applyAlignment="1">
      <alignment horizontal="center" vertical="center"/>
    </xf>
    <xf numFmtId="0" fontId="0" fillId="0" borderId="39" xfId="0" applyBorder="1" applyAlignment="1">
      <alignment horizontal="center" vertical="center"/>
    </xf>
    <xf numFmtId="164" fontId="0" fillId="7" borderId="37" xfId="0" applyNumberFormat="1" applyFill="1" applyBorder="1" applyAlignment="1">
      <alignment horizontal="center" vertical="center"/>
    </xf>
    <xf numFmtId="164" fontId="0" fillId="7" borderId="38" xfId="0" applyNumberFormat="1" applyFill="1" applyBorder="1" applyAlignment="1">
      <alignment horizontal="center" vertical="center"/>
    </xf>
    <xf numFmtId="164" fontId="0" fillId="7" borderId="39" xfId="0" applyNumberFormat="1" applyFill="1" applyBorder="1" applyAlignment="1">
      <alignment horizontal="center" vertical="center"/>
    </xf>
    <xf numFmtId="164" fontId="0" fillId="7" borderId="37" xfId="0" applyNumberFormat="1" applyFill="1" applyBorder="1" applyAlignment="1">
      <alignment horizontal="center" vertical="center" wrapText="1"/>
    </xf>
    <xf numFmtId="164" fontId="0" fillId="7" borderId="38" xfId="0" applyNumberFormat="1" applyFill="1" applyBorder="1" applyAlignment="1">
      <alignment horizontal="center" vertical="center" wrapText="1"/>
    </xf>
    <xf numFmtId="164" fontId="0" fillId="7" borderId="39" xfId="0" applyNumberFormat="1" applyFill="1" applyBorder="1" applyAlignment="1">
      <alignment horizontal="center" vertical="center" wrapText="1"/>
    </xf>
    <xf numFmtId="0" fontId="0" fillId="2" borderId="26" xfId="0" applyFill="1" applyBorder="1" applyAlignment="1">
      <alignment horizontal="left" vertical="center" wrapText="1" indent="1"/>
    </xf>
    <xf numFmtId="0" fontId="0" fillId="2" borderId="24" xfId="0" applyFill="1" applyBorder="1" applyAlignment="1">
      <alignment horizontal="left" vertical="center" wrapText="1" indent="1"/>
    </xf>
    <xf numFmtId="0" fontId="0" fillId="0" borderId="32" xfId="0" applyBorder="1" applyAlignment="1">
      <alignment horizontal="center"/>
    </xf>
    <xf numFmtId="0" fontId="0" fillId="0" borderId="36" xfId="0" applyBorder="1" applyAlignment="1">
      <alignment horizontal="center"/>
    </xf>
    <xf numFmtId="0" fontId="0" fillId="0" borderId="33" xfId="0" applyBorder="1" applyAlignment="1">
      <alignment horizontal="center"/>
    </xf>
    <xf numFmtId="0" fontId="0" fillId="0" borderId="30" xfId="0" applyBorder="1" applyAlignment="1">
      <alignment horizontal="center" vertical="center"/>
    </xf>
    <xf numFmtId="0" fontId="0" fillId="0" borderId="16" xfId="0" applyBorder="1" applyAlignment="1">
      <alignment horizontal="center" vertical="center"/>
    </xf>
    <xf numFmtId="0" fontId="0" fillId="0" borderId="40" xfId="0" applyBorder="1" applyAlignment="1">
      <alignment horizontal="center" vertical="center"/>
    </xf>
    <xf numFmtId="0" fontId="10" fillId="0" borderId="0" xfId="1" applyFont="1" applyAlignment="1">
      <alignment horizont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27" xfId="0" applyFont="1" applyFill="1" applyBorder="1" applyAlignment="1">
      <alignment horizontal="center" vertical="center"/>
    </xf>
    <xf numFmtId="0" fontId="1" fillId="2" borderId="35" xfId="0" applyFont="1" applyFill="1" applyBorder="1" applyAlignment="1">
      <alignment horizontal="center" vertical="center"/>
    </xf>
    <xf numFmtId="0" fontId="1" fillId="2" borderId="18" xfId="0" applyFont="1" applyFill="1" applyBorder="1" applyAlignment="1">
      <alignment horizontal="center" vertical="center"/>
    </xf>
    <xf numFmtId="0" fontId="1" fillId="2" borderId="25" xfId="0" applyFont="1" applyFill="1" applyBorder="1" applyAlignment="1">
      <alignment horizontal="center" vertical="center"/>
    </xf>
    <xf numFmtId="0" fontId="1" fillId="0" borderId="26" xfId="0" applyFont="1" applyBorder="1" applyAlignment="1">
      <alignment horizontal="center" vertical="center"/>
    </xf>
    <xf numFmtId="0" fontId="1" fillId="0" borderId="23" xfId="0" applyFont="1" applyBorder="1" applyAlignment="1">
      <alignment horizontal="center" vertical="center"/>
    </xf>
    <xf numFmtId="0" fontId="1" fillId="0" borderId="24" xfId="0" applyFont="1" applyBorder="1" applyAlignment="1">
      <alignment horizontal="center" vertical="center"/>
    </xf>
    <xf numFmtId="0" fontId="0" fillId="0" borderId="16" xfId="0" applyBorder="1" applyAlignment="1">
      <alignment horizontal="center"/>
    </xf>
    <xf numFmtId="0" fontId="0" fillId="0" borderId="0" xfId="0" applyAlignment="1">
      <alignment horizontal="center"/>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3" fillId="4" borderId="4"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6"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29" xfId="0" applyFont="1" applyFill="1" applyBorder="1" applyAlignment="1">
      <alignment horizontal="center" vertical="center" wrapText="1"/>
    </xf>
    <xf numFmtId="0" fontId="1" fillId="0" borderId="8" xfId="0" applyFont="1" applyBorder="1" applyAlignment="1">
      <alignment horizontal="center"/>
    </xf>
    <xf numFmtId="0" fontId="7" fillId="0" borderId="0" xfId="0" applyFont="1" applyAlignment="1">
      <alignment horizontal="left" vertical="center" wrapText="1" indent="1"/>
    </xf>
    <xf numFmtId="0" fontId="17" fillId="10" borderId="47" xfId="1" applyFont="1" applyFill="1" applyBorder="1" applyAlignment="1">
      <alignment horizontal="center" vertical="center"/>
    </xf>
    <xf numFmtId="0" fontId="17" fillId="10" borderId="48" xfId="1" applyFont="1" applyFill="1" applyBorder="1" applyAlignment="1">
      <alignment horizontal="center" vertical="center"/>
    </xf>
  </cellXfs>
  <cellStyles count="2">
    <cellStyle name="Hyperlink" xfId="1" builtinId="8"/>
    <cellStyle name="Normal" xfId="0" builtinId="0"/>
  </cellStyles>
  <dxfs count="12">
    <dxf>
      <font>
        <b/>
        <i val="0"/>
        <color rgb="FF00B050"/>
      </font>
      <fill>
        <patternFill>
          <bgColor theme="7" tint="0.59996337778862885"/>
        </patternFill>
      </fill>
    </dxf>
    <dxf>
      <fill>
        <patternFill>
          <bgColor rgb="FFFFFF00"/>
        </patternFill>
      </fill>
    </dxf>
    <dxf>
      <font>
        <color rgb="FF00B050"/>
      </font>
      <fill>
        <patternFill>
          <bgColor theme="2" tint="-9.9948118533890809E-2"/>
        </patternFill>
      </fill>
    </dxf>
    <dxf>
      <font>
        <color rgb="FF00B050"/>
      </font>
      <fill>
        <patternFill>
          <bgColor theme="2"/>
        </patternFill>
      </fill>
    </dxf>
    <dxf>
      <font>
        <color rgb="FF00B050"/>
      </font>
      <fill>
        <patternFill>
          <bgColor theme="2"/>
        </patternFill>
      </fill>
    </dxf>
    <dxf>
      <font>
        <color rgb="FF00B050"/>
      </font>
      <fill>
        <patternFill>
          <bgColor theme="2" tint="-9.9948118533890809E-2"/>
        </patternFill>
      </fill>
    </dxf>
    <dxf>
      <font>
        <color rgb="FF00B050"/>
      </font>
      <fill>
        <patternFill>
          <bgColor theme="2"/>
        </patternFill>
      </fill>
    </dxf>
    <dxf>
      <fill>
        <patternFill>
          <bgColor rgb="FFFFFF00"/>
        </patternFill>
      </fill>
    </dxf>
    <dxf>
      <fill>
        <patternFill>
          <bgColor rgb="FFFFFF00"/>
        </patternFill>
      </fill>
    </dxf>
    <dxf>
      <font>
        <b/>
        <i val="0"/>
        <color rgb="FF00B050"/>
      </font>
      <fill>
        <patternFill>
          <bgColor theme="7" tint="0.59996337778862885"/>
        </patternFill>
      </fill>
    </dxf>
    <dxf>
      <font>
        <b/>
        <i val="0"/>
        <color rgb="FF00B050"/>
      </font>
    </dxf>
    <dxf>
      <font>
        <b/>
        <i val="0"/>
        <color rgb="FF00B05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jpe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5</xdr:col>
      <xdr:colOff>116571</xdr:colOff>
      <xdr:row>17</xdr:row>
      <xdr:rowOff>137160</xdr:rowOff>
    </xdr:from>
    <xdr:to>
      <xdr:col>5</xdr:col>
      <xdr:colOff>1637503</xdr:colOff>
      <xdr:row>18</xdr:row>
      <xdr:rowOff>816</xdr:rowOff>
    </xdr:to>
    <xdr:pic>
      <xdr:nvPicPr>
        <xdr:cNvPr id="5" name="Picture 4">
          <a:extLst>
            <a:ext uri="{FF2B5EF4-FFF2-40B4-BE49-F238E27FC236}">
              <a16:creationId xmlns:a16="http://schemas.microsoft.com/office/drawing/2014/main" id="{4CE3E3FC-195B-3193-77A8-2DF67742B2AF}"/>
            </a:ext>
          </a:extLst>
        </xdr:cNvPr>
        <xdr:cNvPicPr>
          <a:picLocks noChangeAspect="1"/>
        </xdr:cNvPicPr>
      </xdr:nvPicPr>
      <xdr:blipFill>
        <a:blip xmlns:r="http://schemas.openxmlformats.org/officeDocument/2006/relationships" r:embed="rId1"/>
        <a:stretch>
          <a:fillRect/>
        </a:stretch>
      </xdr:blipFill>
      <xdr:spPr>
        <a:xfrm>
          <a:off x="4795251" y="3474720"/>
          <a:ext cx="1520932" cy="266731"/>
        </a:xfrm>
        <a:prstGeom prst="rect">
          <a:avLst/>
        </a:prstGeom>
      </xdr:spPr>
    </xdr:pic>
    <xdr:clientData/>
  </xdr:twoCellAnchor>
  <xdr:twoCellAnchor editAs="oneCell">
    <xdr:from>
      <xdr:col>5</xdr:col>
      <xdr:colOff>243841</xdr:colOff>
      <xdr:row>21</xdr:row>
      <xdr:rowOff>89452</xdr:rowOff>
    </xdr:from>
    <xdr:to>
      <xdr:col>5</xdr:col>
      <xdr:colOff>1600201</xdr:colOff>
      <xdr:row>21</xdr:row>
      <xdr:rowOff>453999</xdr:rowOff>
    </xdr:to>
    <xdr:pic>
      <xdr:nvPicPr>
        <xdr:cNvPr id="6" name="Picture 5">
          <a:extLst>
            <a:ext uri="{FF2B5EF4-FFF2-40B4-BE49-F238E27FC236}">
              <a16:creationId xmlns:a16="http://schemas.microsoft.com/office/drawing/2014/main" id="{931AF876-43C2-329F-9CC8-5F4A08117911}"/>
            </a:ext>
          </a:extLst>
        </xdr:cNvPr>
        <xdr:cNvPicPr>
          <a:picLocks noChangeAspect="1"/>
        </xdr:cNvPicPr>
      </xdr:nvPicPr>
      <xdr:blipFill>
        <a:blip xmlns:r="http://schemas.openxmlformats.org/officeDocument/2006/relationships" r:embed="rId2"/>
        <a:stretch>
          <a:fillRect/>
        </a:stretch>
      </xdr:blipFill>
      <xdr:spPr>
        <a:xfrm>
          <a:off x="4922521" y="4425232"/>
          <a:ext cx="1356360" cy="352556"/>
        </a:xfrm>
        <a:prstGeom prst="rect">
          <a:avLst/>
        </a:prstGeom>
      </xdr:spPr>
    </xdr:pic>
    <xdr:clientData/>
  </xdr:twoCellAnchor>
  <xdr:twoCellAnchor editAs="oneCell">
    <xdr:from>
      <xdr:col>5</xdr:col>
      <xdr:colOff>53341</xdr:colOff>
      <xdr:row>25</xdr:row>
      <xdr:rowOff>57490</xdr:rowOff>
    </xdr:from>
    <xdr:to>
      <xdr:col>5</xdr:col>
      <xdr:colOff>1678941</xdr:colOff>
      <xdr:row>27</xdr:row>
      <xdr:rowOff>71446</xdr:rowOff>
    </xdr:to>
    <xdr:pic>
      <xdr:nvPicPr>
        <xdr:cNvPr id="7" name="Picture 6">
          <a:extLst>
            <a:ext uri="{FF2B5EF4-FFF2-40B4-BE49-F238E27FC236}">
              <a16:creationId xmlns:a16="http://schemas.microsoft.com/office/drawing/2014/main" id="{F0C3A132-738C-AB50-8269-632D28012498}"/>
            </a:ext>
          </a:extLst>
        </xdr:cNvPr>
        <xdr:cNvPicPr>
          <a:picLocks noChangeAspect="1"/>
        </xdr:cNvPicPr>
      </xdr:nvPicPr>
      <xdr:blipFill>
        <a:blip xmlns:r="http://schemas.openxmlformats.org/officeDocument/2006/relationships" r:embed="rId3"/>
        <a:stretch>
          <a:fillRect/>
        </a:stretch>
      </xdr:blipFill>
      <xdr:spPr>
        <a:xfrm>
          <a:off x="4732021" y="5399110"/>
          <a:ext cx="1638300" cy="483595"/>
        </a:xfrm>
        <a:prstGeom prst="rect">
          <a:avLst/>
        </a:prstGeom>
      </xdr:spPr>
    </xdr:pic>
    <xdr:clientData/>
  </xdr:twoCellAnchor>
  <xdr:twoCellAnchor editAs="oneCell">
    <xdr:from>
      <xdr:col>5</xdr:col>
      <xdr:colOff>93345</xdr:colOff>
      <xdr:row>29</xdr:row>
      <xdr:rowOff>262357</xdr:rowOff>
    </xdr:from>
    <xdr:to>
      <xdr:col>5</xdr:col>
      <xdr:colOff>1794510</xdr:colOff>
      <xdr:row>31</xdr:row>
      <xdr:rowOff>186321</xdr:rowOff>
    </xdr:to>
    <xdr:pic>
      <xdr:nvPicPr>
        <xdr:cNvPr id="3" name="Picture 2">
          <a:extLst>
            <a:ext uri="{FF2B5EF4-FFF2-40B4-BE49-F238E27FC236}">
              <a16:creationId xmlns:a16="http://schemas.microsoft.com/office/drawing/2014/main" id="{86838217-6F85-E044-7175-5DB3E0B9E7AC}"/>
            </a:ext>
          </a:extLst>
        </xdr:cNvPr>
        <xdr:cNvPicPr>
          <a:picLocks noChangeAspect="1"/>
        </xdr:cNvPicPr>
      </xdr:nvPicPr>
      <xdr:blipFill>
        <a:blip xmlns:r="http://schemas.openxmlformats.org/officeDocument/2006/relationships" r:embed="rId4"/>
        <a:stretch>
          <a:fillRect/>
        </a:stretch>
      </xdr:blipFill>
      <xdr:spPr>
        <a:xfrm>
          <a:off x="4634865" y="6762217"/>
          <a:ext cx="1706880" cy="50353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135621</xdr:colOff>
      <xdr:row>17</xdr:row>
      <xdr:rowOff>190500</xdr:rowOff>
    </xdr:from>
    <xdr:to>
      <xdr:col>5</xdr:col>
      <xdr:colOff>1671793</xdr:colOff>
      <xdr:row>18</xdr:row>
      <xdr:rowOff>40036</xdr:rowOff>
    </xdr:to>
    <xdr:pic>
      <xdr:nvPicPr>
        <xdr:cNvPr id="2" name="Picture 1">
          <a:extLst>
            <a:ext uri="{FF2B5EF4-FFF2-40B4-BE49-F238E27FC236}">
              <a16:creationId xmlns:a16="http://schemas.microsoft.com/office/drawing/2014/main" id="{CC3E615C-9957-4DD3-8B05-48C6A12D6615}"/>
            </a:ext>
          </a:extLst>
        </xdr:cNvPr>
        <xdr:cNvPicPr>
          <a:picLocks noChangeAspect="1"/>
        </xdr:cNvPicPr>
      </xdr:nvPicPr>
      <xdr:blipFill>
        <a:blip xmlns:r="http://schemas.openxmlformats.org/officeDocument/2006/relationships" r:embed="rId1"/>
        <a:stretch>
          <a:fillRect/>
        </a:stretch>
      </xdr:blipFill>
      <xdr:spPr>
        <a:xfrm>
          <a:off x="4679046" y="3781425"/>
          <a:ext cx="1520932" cy="287686"/>
        </a:xfrm>
        <a:prstGeom prst="rect">
          <a:avLst/>
        </a:prstGeom>
      </xdr:spPr>
    </xdr:pic>
    <xdr:clientData/>
  </xdr:twoCellAnchor>
  <xdr:twoCellAnchor editAs="oneCell">
    <xdr:from>
      <xdr:col>5</xdr:col>
      <xdr:colOff>300990</xdr:colOff>
      <xdr:row>21</xdr:row>
      <xdr:rowOff>114300</xdr:rowOff>
    </xdr:from>
    <xdr:to>
      <xdr:col>5</xdr:col>
      <xdr:colOff>1714499</xdr:colOff>
      <xdr:row>22</xdr:row>
      <xdr:rowOff>110539</xdr:rowOff>
    </xdr:to>
    <xdr:pic>
      <xdr:nvPicPr>
        <xdr:cNvPr id="3" name="Picture 2">
          <a:extLst>
            <a:ext uri="{FF2B5EF4-FFF2-40B4-BE49-F238E27FC236}">
              <a16:creationId xmlns:a16="http://schemas.microsoft.com/office/drawing/2014/main" id="{68B1998D-232C-4C98-84F5-D184F991FA48}"/>
            </a:ext>
          </a:extLst>
        </xdr:cNvPr>
        <xdr:cNvPicPr>
          <a:picLocks noChangeAspect="1"/>
        </xdr:cNvPicPr>
      </xdr:nvPicPr>
      <xdr:blipFill>
        <a:blip xmlns:r="http://schemas.openxmlformats.org/officeDocument/2006/relationships" r:embed="rId2"/>
        <a:stretch>
          <a:fillRect/>
        </a:stretch>
      </xdr:blipFill>
      <xdr:spPr>
        <a:xfrm>
          <a:off x="4844415" y="4714875"/>
          <a:ext cx="1413509" cy="428674"/>
        </a:xfrm>
        <a:prstGeom prst="rect">
          <a:avLst/>
        </a:prstGeom>
      </xdr:spPr>
    </xdr:pic>
    <xdr:clientData/>
  </xdr:twoCellAnchor>
  <xdr:twoCellAnchor editAs="oneCell">
    <xdr:from>
      <xdr:col>5</xdr:col>
      <xdr:colOff>53341</xdr:colOff>
      <xdr:row>25</xdr:row>
      <xdr:rowOff>57490</xdr:rowOff>
    </xdr:from>
    <xdr:to>
      <xdr:col>5</xdr:col>
      <xdr:colOff>1710691</xdr:colOff>
      <xdr:row>27</xdr:row>
      <xdr:rowOff>156275</xdr:rowOff>
    </xdr:to>
    <xdr:pic>
      <xdr:nvPicPr>
        <xdr:cNvPr id="4" name="Picture 3">
          <a:extLst>
            <a:ext uri="{FF2B5EF4-FFF2-40B4-BE49-F238E27FC236}">
              <a16:creationId xmlns:a16="http://schemas.microsoft.com/office/drawing/2014/main" id="{AF40B27E-B15D-424E-A04E-69B1E2484B5F}"/>
            </a:ext>
          </a:extLst>
        </xdr:cNvPr>
        <xdr:cNvPicPr>
          <a:picLocks noChangeAspect="1"/>
        </xdr:cNvPicPr>
      </xdr:nvPicPr>
      <xdr:blipFill>
        <a:blip xmlns:r="http://schemas.openxmlformats.org/officeDocument/2006/relationships" r:embed="rId3"/>
        <a:stretch>
          <a:fillRect/>
        </a:stretch>
      </xdr:blipFill>
      <xdr:spPr>
        <a:xfrm>
          <a:off x="4732021" y="5399110"/>
          <a:ext cx="1638300" cy="483595"/>
        </a:xfrm>
        <a:prstGeom prst="rect">
          <a:avLst/>
        </a:prstGeom>
      </xdr:spPr>
    </xdr:pic>
    <xdr:clientData/>
  </xdr:twoCellAnchor>
  <xdr:twoCellAnchor editAs="oneCell">
    <xdr:from>
      <xdr:col>5</xdr:col>
      <xdr:colOff>97155</xdr:colOff>
      <xdr:row>29</xdr:row>
      <xdr:rowOff>327659</xdr:rowOff>
    </xdr:from>
    <xdr:to>
      <xdr:col>5</xdr:col>
      <xdr:colOff>1634860</xdr:colOff>
      <xdr:row>32</xdr:row>
      <xdr:rowOff>118188</xdr:rowOff>
    </xdr:to>
    <xdr:pic>
      <xdr:nvPicPr>
        <xdr:cNvPr id="10" name="Picture 9">
          <a:extLst>
            <a:ext uri="{FF2B5EF4-FFF2-40B4-BE49-F238E27FC236}">
              <a16:creationId xmlns:a16="http://schemas.microsoft.com/office/drawing/2014/main" id="{C2722280-4FF1-41D1-A05F-233ABBE7F011}"/>
            </a:ext>
          </a:extLst>
        </xdr:cNvPr>
        <xdr:cNvPicPr>
          <a:picLocks noChangeAspect="1"/>
        </xdr:cNvPicPr>
      </xdr:nvPicPr>
      <xdr:blipFill>
        <a:blip xmlns:r="http://schemas.openxmlformats.org/officeDocument/2006/relationships" r:embed="rId4"/>
        <a:stretch>
          <a:fillRect/>
        </a:stretch>
      </xdr:blipFill>
      <xdr:spPr>
        <a:xfrm>
          <a:off x="4638675" y="6766559"/>
          <a:ext cx="1520560" cy="567769"/>
        </a:xfrm>
        <a:prstGeom prst="rect">
          <a:avLst/>
        </a:prstGeom>
      </xdr:spPr>
    </xdr:pic>
    <xdr:clientData/>
  </xdr:twoCellAnchor>
  <xdr:twoCellAnchor editAs="oneCell">
    <xdr:from>
      <xdr:col>0</xdr:col>
      <xdr:colOff>0</xdr:colOff>
      <xdr:row>0</xdr:row>
      <xdr:rowOff>0</xdr:rowOff>
    </xdr:from>
    <xdr:to>
      <xdr:col>10</xdr:col>
      <xdr:colOff>390525</xdr:colOff>
      <xdr:row>64</xdr:row>
      <xdr:rowOff>66675</xdr:rowOff>
    </xdr:to>
    <xdr:pic>
      <xdr:nvPicPr>
        <xdr:cNvPr id="11" name="Picture 10">
          <a:extLst>
            <a:ext uri="{FF2B5EF4-FFF2-40B4-BE49-F238E27FC236}">
              <a16:creationId xmlns:a16="http://schemas.microsoft.com/office/drawing/2014/main" id="{97D96E35-57E4-41B5-5593-23325D622141}"/>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0" y="0"/>
          <a:ext cx="13392150" cy="133921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ichard Ketchersid" id="{A66A1B58-D2D2-42E5-B9FA-16DA6F3D4A50}" userId="S::richard.ketchersid@gcu.edu::a14ec2f7-27bd-40c3-90d9-209834cdef57"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 dT="2026-07-16T19:39:03.35" personId="{A66A1B58-D2D2-42E5-B9FA-16DA6F3D4A50}" id="{0235BCF7-F423-410C-AD78-31A725BD486C}">
    <text>https://www.loom.com/share/c2207d8d80c643cf9517ca6e311b34ae?sid=4b417298-8b85-49a8-af86-79a75296277b</text>
    <extLst>
      <x:ext xmlns:xltc2="http://schemas.microsoft.com/office/spreadsheetml/2020/threadedcomments2" uri="{F7C98A9C-CBB3-438F-8F68-D28B6AF4A901}">
        <xltc2:checksum>1386620940</xltc2:checksum>
        <xltc2:hyperlink startIndex="0" length="100" url="https://www.loom.com/share/c2207d8d80c643cf9517ca6e311b34ae?sid=4b417298-8b85-49a8-af86-79a75296277b"/>
      </x:ext>
    </extLst>
  </threadedComment>
</ThreadedComment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loom.com/share/c2207d8d80c643cf9517ca6e311b34ae?sid=4b417298-8b85-49a8-af86-79a75296277b"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m.com/share/d3b8f50f668a4aba96a7708eae42c58b?sid=1396a727-3702-421b-8766-dad9cb7013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1BD4A-B200-47DD-841D-A7B7D30FD324}">
  <dimension ref="B1:I11"/>
  <sheetViews>
    <sheetView tabSelected="1" workbookViewId="0">
      <selection activeCell="B2" sqref="B2"/>
    </sheetView>
  </sheetViews>
  <sheetFormatPr defaultRowHeight="15"/>
  <cols>
    <col min="2" max="2" width="64" bestFit="1" customWidth="1"/>
  </cols>
  <sheetData>
    <row r="1" spans="2:9" ht="15.75" thickBot="1"/>
    <row r="2" spans="2:9" ht="15.75" thickBot="1">
      <c r="B2" s="21" t="s">
        <v>0</v>
      </c>
      <c r="D2" s="79" t="s">
        <v>1</v>
      </c>
      <c r="E2" s="80"/>
      <c r="F2" s="80"/>
      <c r="G2" s="80"/>
      <c r="H2" s="80"/>
      <c r="I2" s="81"/>
    </row>
    <row r="3" spans="2:9">
      <c r="B3" t="s">
        <v>2</v>
      </c>
      <c r="D3" s="82"/>
      <c r="E3" s="83"/>
      <c r="F3" s="83"/>
      <c r="G3" s="83"/>
      <c r="H3" s="83"/>
      <c r="I3" s="84"/>
    </row>
    <row r="4" spans="2:9" ht="30">
      <c r="B4" s="23" t="s">
        <v>86</v>
      </c>
      <c r="D4" s="82"/>
      <c r="E4" s="83"/>
      <c r="F4" s="83"/>
      <c r="G4" s="83"/>
      <c r="H4" s="83"/>
      <c r="I4" s="84"/>
    </row>
    <row r="5" spans="2:9">
      <c r="B5" s="22"/>
      <c r="D5" s="82"/>
      <c r="E5" s="83"/>
      <c r="F5" s="83"/>
      <c r="G5" s="83"/>
      <c r="H5" s="83"/>
      <c r="I5" s="84"/>
    </row>
    <row r="6" spans="2:9" ht="15.75" thickBot="1">
      <c r="D6" s="85"/>
      <c r="E6" s="86"/>
      <c r="F6" s="86"/>
      <c r="G6" s="86"/>
      <c r="H6" s="86"/>
      <c r="I6" s="87"/>
    </row>
    <row r="7" spans="2:9" ht="15.75" thickBot="1"/>
    <row r="8" spans="2:9" ht="19.5" thickBot="1">
      <c r="B8" s="21" t="s">
        <v>3</v>
      </c>
      <c r="D8" s="24"/>
      <c r="E8" s="24"/>
      <c r="F8" s="24"/>
      <c r="G8" s="24"/>
    </row>
    <row r="9" spans="2:9" ht="60">
      <c r="B9" s="23" t="s">
        <v>4</v>
      </c>
    </row>
    <row r="10" spans="2:9">
      <c r="B10" s="22" t="s">
        <v>5</v>
      </c>
    </row>
    <row r="11" spans="2:9" ht="30">
      <c r="B11" s="23" t="s">
        <v>97</v>
      </c>
    </row>
  </sheetData>
  <mergeCells count="1">
    <mergeCell ref="D2:I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0B2E2-92BC-47AC-B93B-26715350F717}">
  <dimension ref="B1:N40"/>
  <sheetViews>
    <sheetView zoomScale="85" zoomScaleNormal="85" workbookViewId="0">
      <selection activeCell="C2" sqref="C2"/>
    </sheetView>
  </sheetViews>
  <sheetFormatPr defaultRowHeight="15"/>
  <cols>
    <col min="1" max="1" width="3.7109375" customWidth="1"/>
    <col min="2" max="2" width="25.140625" style="1" customWidth="1"/>
    <col min="3" max="3" width="25.28515625" style="1" customWidth="1"/>
    <col min="4" max="5" width="20.7109375" style="1" customWidth="1"/>
    <col min="6" max="6" width="28.28515625" customWidth="1"/>
    <col min="7" max="7" width="31.28515625" customWidth="1"/>
    <col min="8" max="8" width="30.7109375" style="13" customWidth="1"/>
    <col min="9" max="9" width="30.7109375" style="2" customWidth="1"/>
    <col min="10" max="10" width="30.7109375" customWidth="1"/>
  </cols>
  <sheetData>
    <row r="1" spans="2:14" ht="15.75" thickBot="1"/>
    <row r="2" spans="2:14" ht="31.5" customHeight="1" thickBot="1">
      <c r="B2" s="67" t="s">
        <v>99</v>
      </c>
      <c r="C2" s="68" t="s">
        <v>87</v>
      </c>
      <c r="D2" s="126" t="s">
        <v>7</v>
      </c>
      <c r="E2" s="127"/>
      <c r="F2" s="206" t="s">
        <v>19</v>
      </c>
      <c r="G2" s="207"/>
      <c r="H2"/>
      <c r="I2"/>
    </row>
    <row r="3" spans="2:14" ht="28.5" customHeight="1">
      <c r="B3" s="13"/>
      <c r="C3" s="2"/>
      <c r="D3"/>
      <c r="E3"/>
      <c r="H3" s="64"/>
      <c r="I3"/>
    </row>
    <row r="4" spans="2:14" ht="15.75" thickBot="1">
      <c r="B4" s="13"/>
      <c r="C4" s="2"/>
      <c r="D4"/>
      <c r="E4"/>
      <c r="H4"/>
      <c r="I4"/>
    </row>
    <row r="5" spans="2:14" ht="16.5" thickTop="1">
      <c r="B5" s="148" t="s">
        <v>8</v>
      </c>
      <c r="C5" s="149"/>
      <c r="D5" s="42"/>
      <c r="E5" s="43">
        <v>15</v>
      </c>
      <c r="F5" s="134" t="s">
        <v>89</v>
      </c>
      <c r="G5" s="135"/>
      <c r="H5" s="44"/>
      <c r="I5" s="39"/>
    </row>
    <row r="6" spans="2:14" ht="15.6" customHeight="1">
      <c r="B6" s="3" t="s">
        <v>9</v>
      </c>
      <c r="C6" s="4" t="s">
        <v>10</v>
      </c>
      <c r="D6" s="42"/>
      <c r="E6" s="45">
        <v>15</v>
      </c>
      <c r="F6" s="136" t="s">
        <v>90</v>
      </c>
      <c r="G6" s="137"/>
      <c r="H6" s="46"/>
      <c r="I6" s="40"/>
      <c r="J6" s="58"/>
      <c r="K6" s="58"/>
      <c r="L6" s="58"/>
      <c r="M6" s="58"/>
      <c r="N6" s="58"/>
    </row>
    <row r="7" spans="2:14" ht="16.149999999999999" customHeight="1">
      <c r="B7" s="5" t="s">
        <v>12</v>
      </c>
      <c r="C7" s="6" t="s">
        <v>13</v>
      </c>
      <c r="D7" s="42"/>
      <c r="E7" s="47">
        <v>16</v>
      </c>
      <c r="F7" s="138" t="s">
        <v>91</v>
      </c>
      <c r="G7" s="139"/>
      <c r="H7" s="44"/>
      <c r="I7" s="39"/>
      <c r="J7" s="58"/>
      <c r="K7" s="58"/>
      <c r="L7" s="58"/>
      <c r="M7" s="58"/>
      <c r="N7" s="58"/>
    </row>
    <row r="8" spans="2:14" ht="16.5" thickBot="1">
      <c r="B8" s="7" t="s">
        <v>15</v>
      </c>
      <c r="C8" s="6" t="s">
        <v>16</v>
      </c>
      <c r="D8" s="42"/>
      <c r="E8" s="48">
        <v>16</v>
      </c>
      <c r="F8" s="140" t="s">
        <v>92</v>
      </c>
      <c r="G8" s="141"/>
      <c r="H8" s="46"/>
      <c r="I8" s="40"/>
      <c r="J8" s="58"/>
      <c r="K8" s="58"/>
      <c r="L8" s="58"/>
      <c r="M8" s="58"/>
      <c r="N8" s="58"/>
    </row>
    <row r="9" spans="2:14" ht="18" customHeight="1" thickBot="1">
      <c r="B9" s="8" t="s">
        <v>17</v>
      </c>
      <c r="C9" s="6" t="s">
        <v>18</v>
      </c>
      <c r="D9" s="42"/>
      <c r="E9" s="42"/>
      <c r="F9" s="42"/>
      <c r="G9" s="42"/>
      <c r="H9" s="49"/>
      <c r="I9" s="57"/>
      <c r="J9" s="58"/>
      <c r="K9" s="58"/>
      <c r="L9" s="58"/>
      <c r="M9" s="58"/>
      <c r="N9" s="58"/>
    </row>
    <row r="10" spans="2:14" ht="16.5" thickBot="1">
      <c r="B10" s="9" t="s">
        <v>20</v>
      </c>
      <c r="C10" s="10" t="s">
        <v>21</v>
      </c>
      <c r="D10" s="42"/>
      <c r="E10" s="42"/>
      <c r="F10" s="91" t="s">
        <v>98</v>
      </c>
      <c r="G10" s="92"/>
      <c r="H10" s="49"/>
      <c r="I10" s="57"/>
      <c r="J10" s="58"/>
      <c r="K10" s="58"/>
      <c r="L10" s="58"/>
      <c r="M10" s="58"/>
      <c r="N10" s="58"/>
    </row>
    <row r="11" spans="2:14" ht="16.5" thickTop="1" thickBot="1">
      <c r="B11" s="50"/>
      <c r="C11" s="50"/>
      <c r="D11" s="50"/>
      <c r="E11" s="50"/>
      <c r="F11" s="93"/>
      <c r="G11" s="94"/>
      <c r="H11" s="49"/>
      <c r="I11" s="57"/>
      <c r="J11" s="58"/>
      <c r="K11" s="58"/>
      <c r="L11" s="58"/>
      <c r="M11" s="58"/>
      <c r="N11" s="58"/>
    </row>
    <row r="12" spans="2:14" ht="14.45" customHeight="1" thickBot="1">
      <c r="B12" s="50"/>
      <c r="C12" s="142" t="s">
        <v>88</v>
      </c>
      <c r="D12" s="143"/>
      <c r="E12" s="144"/>
      <c r="F12" s="95"/>
      <c r="G12" s="96"/>
      <c r="H12" s="51"/>
      <c r="I12" s="58"/>
      <c r="J12" s="58"/>
      <c r="K12" s="58"/>
      <c r="L12" s="58"/>
      <c r="M12" s="58"/>
      <c r="N12" s="58"/>
    </row>
    <row r="13" spans="2:14" ht="15.75" thickBot="1">
      <c r="B13" s="50"/>
      <c r="C13" s="145"/>
      <c r="D13" s="146"/>
      <c r="E13" s="147"/>
      <c r="F13" s="151" t="s">
        <v>22</v>
      </c>
      <c r="G13" s="151"/>
      <c r="H13" s="152"/>
      <c r="I13" s="58"/>
      <c r="J13" s="59"/>
      <c r="K13" s="58"/>
      <c r="L13" s="58"/>
      <c r="M13" s="58"/>
      <c r="N13" s="58"/>
    </row>
    <row r="14" spans="2:14" ht="16.899999999999999" customHeight="1" thickBot="1">
      <c r="B14" s="97" t="s">
        <v>23</v>
      </c>
      <c r="C14" s="98"/>
      <c r="D14" s="98"/>
      <c r="E14" s="118"/>
      <c r="F14" s="153"/>
      <c r="G14" s="154"/>
      <c r="H14" s="155"/>
      <c r="I14" s="58"/>
      <c r="J14" s="58"/>
      <c r="K14" s="58"/>
      <c r="L14" s="58"/>
      <c r="M14" s="58"/>
      <c r="N14" s="58"/>
    </row>
    <row r="15" spans="2:14">
      <c r="B15" s="99"/>
      <c r="C15" s="100"/>
      <c r="D15" s="100"/>
      <c r="E15" s="150"/>
      <c r="F15" s="130" t="s">
        <v>24</v>
      </c>
      <c r="G15" s="132" t="s">
        <v>25</v>
      </c>
      <c r="H15" s="128" t="s">
        <v>26</v>
      </c>
      <c r="I15" s="115"/>
      <c r="J15" s="58"/>
      <c r="K15" s="58"/>
      <c r="L15" s="58"/>
      <c r="M15" s="58"/>
      <c r="N15" s="58"/>
    </row>
    <row r="16" spans="2:14" ht="30.75" customHeight="1" thickBot="1">
      <c r="B16" s="101"/>
      <c r="C16" s="102"/>
      <c r="D16" s="102"/>
      <c r="E16" s="119"/>
      <c r="F16" s="131"/>
      <c r="G16" s="133"/>
      <c r="H16" s="129"/>
      <c r="I16" s="115"/>
      <c r="J16" s="58"/>
      <c r="K16" s="58"/>
      <c r="L16" s="58"/>
      <c r="M16" s="58"/>
      <c r="N16" s="58"/>
    </row>
    <row r="17" spans="2:14" ht="29.1" customHeight="1" thickBot="1">
      <c r="B17" s="97" t="str">
        <f>IF(C2="Your Name Here!", "Enter your name in C2 and your very own problem will appear here:)","Compute the final value of an account into which you make a one time deposite of  $"&amp;Random!J19&amp;" and leave the money for "&amp;Random!J20&amp;" years at an APR of "&amp;Random!J21&amp;"% with simple interest. Compute the interest earned.")</f>
        <v>Enter your name in C2 and your very own problem will appear here:)</v>
      </c>
      <c r="C17" s="98"/>
      <c r="D17" s="98"/>
      <c r="E17" s="118"/>
      <c r="F17" s="120"/>
      <c r="G17" s="123" t="s">
        <v>27</v>
      </c>
      <c r="H17" s="52" t="s">
        <v>28</v>
      </c>
      <c r="I17" s="55" t="s">
        <v>29</v>
      </c>
      <c r="J17" s="66"/>
      <c r="K17" s="58"/>
      <c r="L17" s="58"/>
      <c r="M17" s="58"/>
      <c r="N17" s="58"/>
    </row>
    <row r="18" spans="2:14" ht="35.25" customHeight="1" thickBot="1">
      <c r="B18" s="101"/>
      <c r="C18" s="102"/>
      <c r="D18" s="102"/>
      <c r="E18" s="119"/>
      <c r="F18" s="121"/>
      <c r="G18" s="124"/>
      <c r="H18" s="112"/>
      <c r="I18" s="109"/>
      <c r="J18" s="66"/>
      <c r="K18" s="58"/>
      <c r="L18" s="58"/>
      <c r="M18" s="58"/>
      <c r="N18" s="58"/>
    </row>
    <row r="19" spans="2:14" ht="18" customHeight="1">
      <c r="B19" s="69" t="s">
        <v>30</v>
      </c>
      <c r="C19" s="65" t="s">
        <v>31</v>
      </c>
      <c r="D19" s="65" t="s">
        <v>32</v>
      </c>
      <c r="E19" s="65" t="s">
        <v>33</v>
      </c>
      <c r="F19" s="121"/>
      <c r="G19" s="124"/>
      <c r="H19" s="113"/>
      <c r="I19" s="110"/>
      <c r="J19" s="66"/>
      <c r="K19" s="58"/>
      <c r="L19" s="58"/>
      <c r="M19" s="58"/>
      <c r="N19" s="58"/>
    </row>
    <row r="20" spans="2:14" ht="18" customHeight="1" thickBot="1">
      <c r="B20" s="72"/>
      <c r="C20" s="73"/>
      <c r="D20" s="74"/>
      <c r="E20" s="74"/>
      <c r="F20" s="122"/>
      <c r="G20" s="125"/>
      <c r="H20" s="114"/>
      <c r="I20" s="111"/>
      <c r="J20" s="66"/>
      <c r="K20" s="58"/>
      <c r="L20" s="58"/>
      <c r="M20" s="58"/>
      <c r="N20" s="58"/>
    </row>
    <row r="21" spans="2:14" ht="29.1" customHeight="1" thickBot="1">
      <c r="B21" s="97" t="str">
        <f>IF(C2="Your Name Here!", "Enter your name in C2 and your very own problem will appear here:)","Compute the final value of an account into which you make a one time deposite of  $"&amp;Random!J19&amp;" and leave the money for "&amp;Random!J20&amp;" years at an APR of "&amp;Random!J21&amp;"% with compounded monthly. Compute the interest earned.")</f>
        <v>Enter your name in C2 and your very own problem will appear here:)</v>
      </c>
      <c r="C21" s="98"/>
      <c r="D21" s="98"/>
      <c r="E21" s="116"/>
      <c r="F21" s="156"/>
      <c r="G21" s="123" t="s">
        <v>34</v>
      </c>
      <c r="H21" s="53" t="s">
        <v>28</v>
      </c>
      <c r="I21" s="54" t="s">
        <v>29</v>
      </c>
      <c r="J21" s="60"/>
      <c r="K21" s="61"/>
      <c r="L21" s="58"/>
      <c r="M21" s="58"/>
      <c r="N21" s="58"/>
    </row>
    <row r="22" spans="2:14" ht="36.75" customHeight="1" thickBot="1">
      <c r="B22" s="101"/>
      <c r="C22" s="102"/>
      <c r="D22" s="102"/>
      <c r="E22" s="117"/>
      <c r="F22" s="157"/>
      <c r="G22" s="124"/>
      <c r="H22" s="109"/>
      <c r="I22" s="112"/>
      <c r="J22" s="60"/>
      <c r="K22" s="61"/>
      <c r="L22" s="58"/>
      <c r="M22" s="58"/>
      <c r="N22" s="58"/>
    </row>
    <row r="23" spans="2:14" ht="18" customHeight="1">
      <c r="B23" s="69" t="s">
        <v>30</v>
      </c>
      <c r="C23" s="65" t="s">
        <v>31</v>
      </c>
      <c r="D23" s="65" t="s">
        <v>32</v>
      </c>
      <c r="E23" s="65" t="s">
        <v>33</v>
      </c>
      <c r="F23" s="157"/>
      <c r="G23" s="124"/>
      <c r="H23" s="110"/>
      <c r="I23" s="113"/>
      <c r="J23" s="60"/>
      <c r="K23" s="61"/>
      <c r="L23" s="58"/>
      <c r="M23" s="58"/>
      <c r="N23" s="58"/>
    </row>
    <row r="24" spans="2:14" ht="18" customHeight="1" thickBot="1">
      <c r="B24" s="72"/>
      <c r="C24" s="73"/>
      <c r="D24" s="74"/>
      <c r="E24" s="74"/>
      <c r="F24" s="158"/>
      <c r="G24" s="125"/>
      <c r="H24" s="111"/>
      <c r="I24" s="114"/>
      <c r="J24" s="60"/>
      <c r="K24" s="61"/>
      <c r="L24" s="58"/>
      <c r="M24" s="58"/>
      <c r="N24" s="58"/>
    </row>
    <row r="25" spans="2:14" ht="29.1" customHeight="1" thickBot="1">
      <c r="B25" s="97" t="str">
        <f>IF(C2="Your Name Here!", "Enter your name in C2 and your very own problem will appear here:)","Compute the final value of an account into which you put  $"&amp;Random!I19&amp;" monthly for "&amp;Random!J20&amp;" years at an APR of "&amp;Random!J21&amp;"% compounded monthly. Compute the total invested and the interest earned.")</f>
        <v>Enter your name in C2 and your very own problem will appear here:)</v>
      </c>
      <c r="C25" s="98"/>
      <c r="D25" s="98"/>
      <c r="E25" s="98"/>
      <c r="F25" s="103"/>
      <c r="G25" s="106" t="s">
        <v>35</v>
      </c>
      <c r="H25" s="55" t="s">
        <v>28</v>
      </c>
      <c r="I25" s="54" t="s">
        <v>36</v>
      </c>
      <c r="J25" s="56" t="s">
        <v>37</v>
      </c>
      <c r="K25" s="61"/>
      <c r="L25" s="58"/>
      <c r="M25" s="58"/>
      <c r="N25" s="58"/>
    </row>
    <row r="26" spans="2:14" ht="18" customHeight="1">
      <c r="B26" s="99"/>
      <c r="C26" s="100"/>
      <c r="D26" s="100"/>
      <c r="E26" s="100"/>
      <c r="F26" s="104"/>
      <c r="G26" s="107"/>
      <c r="H26" s="109"/>
      <c r="I26" s="112"/>
      <c r="J26" s="88"/>
      <c r="K26" s="61"/>
      <c r="L26" s="58"/>
      <c r="M26" s="58"/>
      <c r="N26" s="58"/>
    </row>
    <row r="27" spans="2:14" ht="18" customHeight="1" thickBot="1">
      <c r="B27" s="101"/>
      <c r="C27" s="102"/>
      <c r="D27" s="102"/>
      <c r="E27" s="102"/>
      <c r="F27" s="104"/>
      <c r="G27" s="107"/>
      <c r="H27" s="110"/>
      <c r="I27" s="113"/>
      <c r="J27" s="89"/>
      <c r="K27" s="61"/>
      <c r="L27" s="58"/>
      <c r="M27" s="58"/>
      <c r="N27" s="58"/>
    </row>
    <row r="28" spans="2:14" ht="18" customHeight="1">
      <c r="B28" s="69" t="s">
        <v>30</v>
      </c>
      <c r="C28" s="65" t="s">
        <v>31</v>
      </c>
      <c r="D28" s="65" t="s">
        <v>32</v>
      </c>
      <c r="E28" s="70" t="s">
        <v>33</v>
      </c>
      <c r="F28" s="104"/>
      <c r="G28" s="107"/>
      <c r="H28" s="110"/>
      <c r="I28" s="113"/>
      <c r="J28" s="89"/>
      <c r="K28" s="58"/>
      <c r="L28" s="58"/>
      <c r="M28" s="58"/>
      <c r="N28" s="58"/>
    </row>
    <row r="29" spans="2:14" ht="18" customHeight="1" thickBot="1">
      <c r="B29" s="72"/>
      <c r="C29" s="73"/>
      <c r="D29" s="74"/>
      <c r="E29" s="74"/>
      <c r="F29" s="105"/>
      <c r="G29" s="108"/>
      <c r="H29" s="111"/>
      <c r="I29" s="114"/>
      <c r="J29" s="90"/>
      <c r="K29" s="58"/>
      <c r="L29" s="58"/>
      <c r="M29" s="58"/>
      <c r="N29" s="58"/>
    </row>
    <row r="30" spans="2:14" ht="29.1" customHeight="1" thickBot="1">
      <c r="B30" s="97" t="str">
        <f>IF(C2="Your Name Here!", "Enter your name in C2 and your very own problem will appear here:)","Compute the monthly payment (P) required to reach a future amount (FV) of $"&amp;Solutions!J22&amp;".00 after "&amp;Random!J20&amp;" years at an APR of "&amp;Random!J21&amp;"% compounded monthly. Compute the total invested and the interest earned.")</f>
        <v>Enter your name in C2 and your very own problem will appear here:)</v>
      </c>
      <c r="C30" s="98"/>
      <c r="D30" s="98"/>
      <c r="E30" s="98"/>
      <c r="F30" s="103"/>
      <c r="G30" s="106" t="s">
        <v>95</v>
      </c>
      <c r="H30" s="55" t="s">
        <v>96</v>
      </c>
      <c r="I30" s="54" t="s">
        <v>36</v>
      </c>
      <c r="J30" s="56" t="s">
        <v>37</v>
      </c>
      <c r="K30" s="58"/>
      <c r="L30" s="58"/>
      <c r="M30" s="58"/>
      <c r="N30" s="58"/>
    </row>
    <row r="31" spans="2:14" ht="18" customHeight="1">
      <c r="B31" s="99"/>
      <c r="C31" s="100"/>
      <c r="D31" s="100"/>
      <c r="E31" s="100"/>
      <c r="F31" s="104"/>
      <c r="G31" s="107"/>
      <c r="H31" s="109"/>
      <c r="I31" s="112"/>
      <c r="J31" s="88"/>
      <c r="K31" s="58"/>
      <c r="L31" s="58"/>
      <c r="M31" s="58"/>
      <c r="N31" s="58"/>
    </row>
    <row r="32" spans="2:14" ht="18" customHeight="1" thickBot="1">
      <c r="B32" s="101"/>
      <c r="C32" s="102"/>
      <c r="D32" s="102"/>
      <c r="E32" s="102"/>
      <c r="F32" s="104"/>
      <c r="G32" s="107"/>
      <c r="H32" s="110"/>
      <c r="I32" s="113"/>
      <c r="J32" s="89"/>
      <c r="K32" s="58"/>
      <c r="L32" s="58"/>
      <c r="M32" s="58"/>
      <c r="N32" s="58"/>
    </row>
    <row r="33" spans="2:14" ht="18" customHeight="1">
      <c r="B33" s="69" t="s">
        <v>93</v>
      </c>
      <c r="C33" s="65" t="s">
        <v>31</v>
      </c>
      <c r="D33" s="65" t="s">
        <v>32</v>
      </c>
      <c r="E33" s="71" t="s">
        <v>33</v>
      </c>
      <c r="F33" s="104"/>
      <c r="G33" s="107"/>
      <c r="H33" s="110"/>
      <c r="I33" s="113"/>
      <c r="J33" s="89"/>
      <c r="K33" s="58"/>
      <c r="L33" s="58"/>
      <c r="M33" s="58"/>
      <c r="N33" s="58"/>
    </row>
    <row r="34" spans="2:14" ht="18" customHeight="1" thickBot="1">
      <c r="B34" s="75"/>
      <c r="C34" s="76"/>
      <c r="D34" s="77"/>
      <c r="E34" s="78"/>
      <c r="F34" s="105"/>
      <c r="G34" s="108"/>
      <c r="H34" s="111"/>
      <c r="I34" s="114"/>
      <c r="J34" s="90"/>
      <c r="K34" s="58"/>
      <c r="L34" s="58"/>
      <c r="M34" s="58"/>
      <c r="N34" s="58"/>
    </row>
    <row r="35" spans="2:14">
      <c r="B35" s="62"/>
      <c r="C35" s="62"/>
      <c r="D35" s="62"/>
      <c r="E35" s="62"/>
      <c r="F35" s="58"/>
      <c r="G35" s="58"/>
      <c r="H35" s="63"/>
      <c r="I35" s="57"/>
      <c r="J35" s="58"/>
      <c r="K35" s="58"/>
      <c r="L35" s="58"/>
      <c r="M35" s="58"/>
      <c r="N35" s="58"/>
    </row>
    <row r="36" spans="2:14">
      <c r="B36" s="62"/>
      <c r="C36" s="62"/>
      <c r="D36" s="62"/>
      <c r="E36" s="62"/>
      <c r="F36" s="58"/>
      <c r="G36" s="58"/>
      <c r="H36" s="63"/>
      <c r="I36" s="57"/>
      <c r="J36" s="58"/>
      <c r="K36" s="58"/>
      <c r="L36" s="58"/>
      <c r="M36" s="58"/>
      <c r="N36" s="58"/>
    </row>
    <row r="37" spans="2:14">
      <c r="B37" s="62"/>
      <c r="C37" s="62"/>
      <c r="D37" s="62"/>
      <c r="E37" s="62"/>
      <c r="F37" s="58"/>
      <c r="G37" s="58"/>
      <c r="H37" s="63"/>
      <c r="I37" s="57"/>
      <c r="J37" s="58"/>
      <c r="K37" s="58"/>
      <c r="L37" s="58"/>
      <c r="M37" s="58"/>
      <c r="N37" s="58"/>
    </row>
    <row r="38" spans="2:14">
      <c r="B38" s="62"/>
      <c r="C38" s="62"/>
      <c r="D38" s="62"/>
      <c r="E38" s="62"/>
      <c r="F38" s="58"/>
      <c r="G38" s="58"/>
      <c r="H38" s="63"/>
      <c r="I38" s="57"/>
      <c r="J38" s="58"/>
      <c r="K38" s="58"/>
      <c r="L38" s="58"/>
      <c r="M38" s="58"/>
      <c r="N38" s="58"/>
    </row>
    <row r="39" spans="2:14">
      <c r="B39" s="62"/>
      <c r="C39" s="62"/>
      <c r="D39" s="62"/>
      <c r="E39" s="62"/>
      <c r="F39" s="58"/>
      <c r="G39" s="58"/>
      <c r="H39" s="63"/>
      <c r="I39" s="57"/>
      <c r="J39" s="58"/>
      <c r="K39" s="58"/>
      <c r="L39" s="58"/>
      <c r="M39" s="58"/>
      <c r="N39" s="58"/>
    </row>
    <row r="40" spans="2:14">
      <c r="B40" s="62"/>
      <c r="C40" s="62"/>
      <c r="D40" s="62"/>
      <c r="E40" s="62"/>
      <c r="F40" s="58"/>
      <c r="G40" s="58"/>
      <c r="H40" s="63"/>
      <c r="I40" s="57"/>
      <c r="J40" s="58"/>
      <c r="K40" s="58"/>
      <c r="L40" s="58"/>
      <c r="M40" s="58"/>
      <c r="N40" s="58"/>
    </row>
  </sheetData>
  <sheetProtection algorithmName="SHA-512" hashValue="HBUmoshzQfujUApxiZOkmxr64phh4MabnD8OKjUO3K98CxY+zIl71v3ZiTGeuhMvZHrOlYhT2/GiSVuW0qoHaw==" saltValue="wNldlurn4DywqFAzkh+ebQ==" spinCount="100000" sheet="1" scenarios="1" formatCells="0" formatColumns="0" formatRows="0"/>
  <mergeCells count="37">
    <mergeCell ref="F25:F29"/>
    <mergeCell ref="F21:F24"/>
    <mergeCell ref="G21:G24"/>
    <mergeCell ref="H18:H20"/>
    <mergeCell ref="I18:I20"/>
    <mergeCell ref="J26:J29"/>
    <mergeCell ref="H22:H24"/>
    <mergeCell ref="I22:I24"/>
    <mergeCell ref="D2:E2"/>
    <mergeCell ref="H15:H16"/>
    <mergeCell ref="F15:F16"/>
    <mergeCell ref="G15:G16"/>
    <mergeCell ref="F5:G5"/>
    <mergeCell ref="F6:G6"/>
    <mergeCell ref="F7:G7"/>
    <mergeCell ref="F8:G8"/>
    <mergeCell ref="C12:E13"/>
    <mergeCell ref="B5:C5"/>
    <mergeCell ref="F2:G2"/>
    <mergeCell ref="B14:E16"/>
    <mergeCell ref="F13:H14"/>
    <mergeCell ref="J31:J34"/>
    <mergeCell ref="F10:G12"/>
    <mergeCell ref="B30:E32"/>
    <mergeCell ref="F30:F34"/>
    <mergeCell ref="G30:G34"/>
    <mergeCell ref="H31:H34"/>
    <mergeCell ref="I31:I34"/>
    <mergeCell ref="B25:E27"/>
    <mergeCell ref="I15:I16"/>
    <mergeCell ref="B21:E22"/>
    <mergeCell ref="B17:E18"/>
    <mergeCell ref="G25:G29"/>
    <mergeCell ref="H26:H29"/>
    <mergeCell ref="I26:I29"/>
    <mergeCell ref="F17:F20"/>
    <mergeCell ref="G17:G20"/>
  </mergeCells>
  <conditionalFormatting sqref="H18:I20 H22:I24 H26:J29">
    <cfRule type="expression" dxfId="8" priority="10" stopIfTrue="1">
      <formula>NOT(OR(_xlfn.ISFORMULA(H18),ISBLANK(H18)))</formula>
    </cfRule>
  </conditionalFormatting>
  <conditionalFormatting sqref="H31:J34">
    <cfRule type="expression" dxfId="7" priority="8" stopIfTrue="1">
      <formula>NOT(OR(_xlfn.ISFORMULA(H31),ISBLANK(H31)))</formula>
    </cfRule>
  </conditionalFormatting>
  <hyperlinks>
    <hyperlink ref="F2:G2" r:id="rId1" display="Video for this template" xr:uid="{3812A229-75B4-4FBA-B122-7B4D5006D561}"/>
  </hyperlinks>
  <pageMargins left="0.7" right="0.7" top="0.75" bottom="0.75" header="0.3" footer="0.3"/>
  <pageSetup orientation="portrait" r:id="rId2"/>
  <drawing r:id="rId3"/>
  <legacyDrawing r:id="rId4"/>
  <extLst>
    <ext xmlns:x14="http://schemas.microsoft.com/office/spreadsheetml/2009/9/main" uri="{78C0D931-6437-407d-A8EE-F0AAD7539E65}">
      <x14:conditionalFormattings>
        <x14:conditionalFormatting xmlns:xm="http://schemas.microsoft.com/office/excel/2006/main">
          <x14:cfRule type="expression" priority="3" id="{FD3A6CA9-4031-40B5-8534-947DBE062FE5}">
            <xm:f>B24=Solutions!B24</xm:f>
            <x14:dxf>
              <font>
                <b/>
                <i val="0"/>
                <color rgb="FF00B050"/>
              </font>
            </x14:dxf>
          </x14:cfRule>
          <xm:sqref>B24 B29</xm:sqref>
        </x14:conditionalFormatting>
        <x14:conditionalFormatting xmlns:xm="http://schemas.microsoft.com/office/excel/2006/main">
          <x14:cfRule type="expression" priority="7" id="{3A16D2FA-99A3-4855-AC27-6157B9A965C9}">
            <xm:f>ABS(B20-Solutions!B20)&lt;0.0001</xm:f>
            <x14:dxf>
              <font>
                <b/>
                <i val="0"/>
                <color rgb="FF00B050"/>
              </font>
            </x14:dxf>
          </x14:cfRule>
          <xm:sqref>B20:E20 B24:E24 B29:E29 B34:E34</xm:sqref>
        </x14:conditionalFormatting>
        <x14:conditionalFormatting xmlns:xm="http://schemas.microsoft.com/office/excel/2006/main">
          <x14:cfRule type="expression" priority="11" id="{C037E424-136E-4016-8DC6-575577F36A26}">
            <xm:f>AND(NOT(ISBLANK(H18)),ABS(H18-Solutions!H18)&lt;0.01)</xm:f>
            <x14:dxf>
              <font>
                <b/>
                <i val="0"/>
                <color rgb="FF00B050"/>
              </font>
              <fill>
                <patternFill>
                  <bgColor theme="7" tint="0.59996337778862885"/>
                </patternFill>
              </fill>
            </x14:dxf>
          </x14:cfRule>
          <xm:sqref>H18:I20 H22:I24 H26:J29 H31:J34</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7AA56-18AC-4DC7-BC45-323D5E38D83F}">
  <dimension ref="A1:W55"/>
  <sheetViews>
    <sheetView workbookViewId="0">
      <selection activeCell="I19" sqref="I19"/>
    </sheetView>
  </sheetViews>
  <sheetFormatPr defaultRowHeight="15"/>
  <cols>
    <col min="5" max="6" width="11" bestFit="1" customWidth="1"/>
    <col min="8" max="8" width="11.5703125" bestFit="1" customWidth="1"/>
    <col min="9" max="10" width="10" bestFit="1" customWidth="1"/>
  </cols>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CODE(MID(Financial!C$2,A6,1))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CODE(MID(Financial!C$2,A7,1))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CODE(MID(Financial!C$2,A8,1))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CODE(MID(Financial!C$2,A9,1))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CODE(MID(Financial!C$2,A10,1))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38</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39</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40</v>
      </c>
      <c r="B13" s="16">
        <f t="shared" ref="B13:B33" ca="1" si="3">MOD(B12*F$11+F$12,F$13)</f>
        <v>22544</v>
      </c>
      <c r="C13">
        <f t="shared" ref="C13:C33" ca="1" si="4">IF(D13&lt;0.5,0,1)</f>
        <v>1</v>
      </c>
      <c r="D13">
        <f t="shared" ref="D13:D33" ca="1" si="5">B13/F$13</f>
        <v>0.68798828125</v>
      </c>
      <c r="E13">
        <f t="shared" ref="E13:E33"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41</v>
      </c>
      <c r="B14" s="16">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42</v>
      </c>
      <c r="B15" s="16">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43</v>
      </c>
      <c r="B16" s="16">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44</v>
      </c>
      <c r="B17" s="16">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45</v>
      </c>
      <c r="B18" s="16">
        <f t="shared" ca="1" si="3"/>
        <v>4805</v>
      </c>
      <c r="C18">
        <f t="shared" ca="1" si="4"/>
        <v>0</v>
      </c>
      <c r="D18">
        <f t="shared" ca="1" si="5"/>
        <v>0.146636962890625</v>
      </c>
      <c r="E18">
        <f t="shared" ca="1" si="6"/>
        <v>0</v>
      </c>
    </row>
    <row r="19" spans="1:23">
      <c r="A19" t="s">
        <v>46</v>
      </c>
      <c r="B19" s="16">
        <f t="shared" ca="1" si="3"/>
        <v>13338</v>
      </c>
      <c r="C19">
        <f t="shared" ca="1" si="4"/>
        <v>0</v>
      </c>
      <c r="D19">
        <f t="shared" ca="1" si="5"/>
        <v>0.40704345703125</v>
      </c>
      <c r="E19">
        <f t="shared" ca="1" si="6"/>
        <v>1</v>
      </c>
      <c r="H19">
        <f ca="1">2000+SUM(C12:C26)*25</f>
        <v>2200</v>
      </c>
      <c r="I19" s="17">
        <f ca="1">ROUND(J19/(J20*12),2)</f>
        <v>54.43</v>
      </c>
      <c r="J19">
        <f ca="1">5000+SUM(C20:C40)*25</f>
        <v>5225</v>
      </c>
    </row>
    <row r="20" spans="1:23">
      <c r="A20" t="s">
        <v>47</v>
      </c>
      <c r="B20" s="16">
        <f t="shared" ca="1" si="3"/>
        <v>19275</v>
      </c>
      <c r="C20">
        <f t="shared" ca="1" si="4"/>
        <v>1</v>
      </c>
      <c r="D20">
        <f t="shared" ca="1" si="5"/>
        <v>0.588226318359375</v>
      </c>
      <c r="E20">
        <f t="shared" ca="1" si="6"/>
        <v>3</v>
      </c>
      <c r="H20">
        <f ca="1">2+SUM(C12:C15)</f>
        <v>5</v>
      </c>
      <c r="I20">
        <f ca="1">2+SUM(C20:C30)</f>
        <v>9</v>
      </c>
      <c r="J20">
        <f ca="1">2+SUM(C40:C50)</f>
        <v>8</v>
      </c>
    </row>
    <row r="21" spans="1:23">
      <c r="A21" t="s">
        <v>48</v>
      </c>
      <c r="B21" s="16">
        <f t="shared" ca="1" si="3"/>
        <v>6440</v>
      </c>
      <c r="C21">
        <f t="shared" ca="1" si="4"/>
        <v>0</v>
      </c>
      <c r="D21">
        <f t="shared" ca="1" si="5"/>
        <v>0.196533203125</v>
      </c>
      <c r="E21">
        <f t="shared" ca="1" si="6"/>
        <v>0</v>
      </c>
      <c r="H21" s="17">
        <f ca="1">ROUND(SUM(D21:D30),2)</f>
        <v>5.29</v>
      </c>
      <c r="I21">
        <f ca="1">ROUND(2+SUM(D31:D36),2)</f>
        <v>4.2300000000000004</v>
      </c>
      <c r="J21">
        <f ca="1">ROUND(1+SUM(D41:D48),2)</f>
        <v>5.13</v>
      </c>
    </row>
    <row r="22" spans="1:23">
      <c r="A22" t="s">
        <v>49</v>
      </c>
      <c r="B22" s="16">
        <f t="shared" ca="1" si="3"/>
        <v>5697</v>
      </c>
      <c r="C22">
        <f t="shared" ca="1" si="4"/>
        <v>0</v>
      </c>
      <c r="D22">
        <f t="shared" ca="1" si="5"/>
        <v>0.173858642578125</v>
      </c>
      <c r="E22">
        <f t="shared" ca="1" si="6"/>
        <v>0</v>
      </c>
      <c r="H22">
        <f ca="1">20+SUM(C29:C31)*5</f>
        <v>30</v>
      </c>
      <c r="M22" s="16"/>
    </row>
    <row r="23" spans="1:23">
      <c r="A23" t="s">
        <v>50</v>
      </c>
      <c r="B23" s="16">
        <f t="shared" ca="1" si="3"/>
        <v>30694</v>
      </c>
      <c r="C23">
        <f t="shared" ca="1" si="4"/>
        <v>1</v>
      </c>
      <c r="D23">
        <f t="shared" ca="1" si="5"/>
        <v>0.93670654296875</v>
      </c>
      <c r="E23">
        <f t="shared" ca="1" si="6"/>
        <v>4</v>
      </c>
      <c r="M23" s="16"/>
    </row>
    <row r="24" spans="1:23">
      <c r="A24" t="s">
        <v>51</v>
      </c>
      <c r="B24" s="16">
        <f t="shared" ca="1" si="3"/>
        <v>20775</v>
      </c>
      <c r="C24">
        <f t="shared" ca="1" si="4"/>
        <v>1</v>
      </c>
      <c r="D24">
        <f t="shared" ca="1" si="5"/>
        <v>0.634002685546875</v>
      </c>
      <c r="E24">
        <f t="shared" ca="1" si="6"/>
        <v>3</v>
      </c>
      <c r="M24" s="16"/>
    </row>
    <row r="25" spans="1:23">
      <c r="A25" t="s">
        <v>52</v>
      </c>
      <c r="B25" s="16">
        <f t="shared" ca="1" si="3"/>
        <v>8148</v>
      </c>
      <c r="C25">
        <f t="shared" ca="1" si="4"/>
        <v>0</v>
      </c>
      <c r="D25">
        <f t="shared" ca="1" si="5"/>
        <v>0.2486572265625</v>
      </c>
      <c r="E25">
        <f t="shared" ca="1" si="6"/>
        <v>0</v>
      </c>
      <c r="M25" s="16"/>
    </row>
    <row r="26" spans="1:23">
      <c r="A26" t="s">
        <v>53</v>
      </c>
      <c r="B26" s="16">
        <f t="shared" ca="1" si="3"/>
        <v>21885</v>
      </c>
      <c r="C26">
        <f t="shared" ca="1" si="4"/>
        <v>1</v>
      </c>
      <c r="D26">
        <f t="shared" ca="1" si="5"/>
        <v>0.667877197265625</v>
      </c>
      <c r="E26">
        <f t="shared" ca="1" si="6"/>
        <v>3</v>
      </c>
      <c r="M26" s="16"/>
    </row>
    <row r="27" spans="1:23">
      <c r="A27" t="s">
        <v>54</v>
      </c>
      <c r="B27" s="16">
        <f t="shared" ca="1" si="3"/>
        <v>11378</v>
      </c>
      <c r="C27">
        <f t="shared" ca="1" si="4"/>
        <v>0</v>
      </c>
      <c r="D27">
        <f t="shared" ca="1" si="5"/>
        <v>0.34722900390625</v>
      </c>
      <c r="E27">
        <f t="shared" ca="1" si="6"/>
        <v>1</v>
      </c>
      <c r="M27" s="16"/>
    </row>
    <row r="28" spans="1:23">
      <c r="A28" t="s">
        <v>55</v>
      </c>
      <c r="B28" s="16">
        <f t="shared" ca="1" si="3"/>
        <v>22723</v>
      </c>
      <c r="C28">
        <f t="shared" ca="1" si="4"/>
        <v>1</v>
      </c>
      <c r="D28">
        <f t="shared" ca="1" si="5"/>
        <v>0.693450927734375</v>
      </c>
      <c r="E28">
        <f t="shared" ca="1" si="6"/>
        <v>3</v>
      </c>
      <c r="M28" s="16"/>
    </row>
    <row r="29" spans="1:23">
      <c r="A29" t="s">
        <v>56</v>
      </c>
      <c r="B29" s="16">
        <f t="shared" ca="1" si="3"/>
        <v>25920</v>
      </c>
      <c r="C29">
        <f t="shared" ca="1" si="4"/>
        <v>1</v>
      </c>
      <c r="D29">
        <f t="shared" ca="1" si="5"/>
        <v>0.791015625</v>
      </c>
      <c r="E29">
        <f t="shared" ca="1" si="6"/>
        <v>4</v>
      </c>
      <c r="M29" s="16"/>
    </row>
    <row r="30" spans="1:23">
      <c r="A30" t="s">
        <v>57</v>
      </c>
      <c r="B30" s="16">
        <f t="shared" ca="1" si="3"/>
        <v>19577</v>
      </c>
      <c r="C30">
        <f t="shared" ca="1" si="4"/>
        <v>1</v>
      </c>
      <c r="D30">
        <f t="shared" ca="1" si="5"/>
        <v>0.597442626953125</v>
      </c>
      <c r="E30">
        <f t="shared" ca="1" si="6"/>
        <v>3</v>
      </c>
      <c r="M30" s="16"/>
    </row>
    <row r="31" spans="1:23">
      <c r="A31" t="s">
        <v>58</v>
      </c>
      <c r="B31" s="16">
        <f t="shared" ca="1" si="3"/>
        <v>7614</v>
      </c>
      <c r="C31">
        <f t="shared" ca="1" si="4"/>
        <v>0</v>
      </c>
      <c r="D31">
        <f t="shared" ca="1" si="5"/>
        <v>0.23236083984375</v>
      </c>
      <c r="E31">
        <f t="shared" ca="1" si="6"/>
        <v>0</v>
      </c>
      <c r="M31" s="16"/>
    </row>
    <row r="32" spans="1:23">
      <c r="A32" t="s">
        <v>59</v>
      </c>
      <c r="B32" s="16">
        <f t="shared" ca="1" si="3"/>
        <v>15903</v>
      </c>
      <c r="C32">
        <f t="shared" ca="1" si="4"/>
        <v>0</v>
      </c>
      <c r="D32">
        <f t="shared" ca="1" si="5"/>
        <v>0.485321044921875</v>
      </c>
      <c r="E32">
        <f t="shared" ca="1" si="6"/>
        <v>1</v>
      </c>
      <c r="M32" s="16"/>
    </row>
    <row r="33" spans="1:13">
      <c r="A33" t="s">
        <v>60</v>
      </c>
      <c r="B33" s="16">
        <f t="shared" ca="1" si="3"/>
        <v>5484</v>
      </c>
      <c r="C33">
        <f t="shared" ca="1" si="4"/>
        <v>0</v>
      </c>
      <c r="D33">
        <f t="shared" ca="1" si="5"/>
        <v>0.1673583984375</v>
      </c>
      <c r="E33">
        <f t="shared" ca="1" si="6"/>
        <v>0</v>
      </c>
      <c r="M33" s="16"/>
    </row>
    <row r="34" spans="1:13">
      <c r="A34" t="s">
        <v>61</v>
      </c>
      <c r="B34" s="16">
        <f t="shared" ref="B34:B55" ca="1" si="7">MOD(B33*F$11+F$12,F$13)</f>
        <v>14133</v>
      </c>
      <c r="C34">
        <f t="shared" ref="C34:C55" ca="1" si="8">IF(D34&lt;0.5,0,1)</f>
        <v>0</v>
      </c>
      <c r="D34">
        <f t="shared" ref="D34:D55" ca="1" si="9">B34/F$13</f>
        <v>0.431304931640625</v>
      </c>
      <c r="E34">
        <f t="shared" ref="E34:E55" ca="1" si="10">IF(D34&lt;0.25,0,IF(D34&lt;0.5,1,IF(D34&lt;0.75,3,4)))</f>
        <v>1</v>
      </c>
      <c r="M34" s="16"/>
    </row>
    <row r="35" spans="1:13">
      <c r="A35" t="s">
        <v>62</v>
      </c>
      <c r="B35" s="16">
        <f t="shared" ca="1" si="7"/>
        <v>22474</v>
      </c>
      <c r="C35">
        <f t="shared" ca="1" si="8"/>
        <v>1</v>
      </c>
      <c r="D35">
        <f t="shared" ca="1" si="9"/>
        <v>0.68585205078125</v>
      </c>
      <c r="E35">
        <f t="shared" ca="1" si="10"/>
        <v>3</v>
      </c>
      <c r="M35" s="16"/>
    </row>
    <row r="36" spans="1:13">
      <c r="A36" t="s">
        <v>63</v>
      </c>
      <c r="B36" s="16">
        <f t="shared" ca="1" si="7"/>
        <v>7483</v>
      </c>
      <c r="C36">
        <f t="shared" ca="1" si="8"/>
        <v>0</v>
      </c>
      <c r="D36">
        <f t="shared" ca="1" si="9"/>
        <v>0.228363037109375</v>
      </c>
      <c r="E36">
        <f t="shared" ca="1" si="10"/>
        <v>0</v>
      </c>
      <c r="M36" s="16"/>
    </row>
    <row r="37" spans="1:13">
      <c r="A37" t="s">
        <v>64</v>
      </c>
      <c r="B37" s="16">
        <f t="shared" ca="1" si="7"/>
        <v>7256</v>
      </c>
      <c r="C37">
        <f t="shared" ca="1" si="8"/>
        <v>0</v>
      </c>
      <c r="D37">
        <f t="shared" ca="1" si="9"/>
        <v>0.221435546875</v>
      </c>
      <c r="E37">
        <f t="shared" ca="1" si="10"/>
        <v>0</v>
      </c>
      <c r="M37" s="16"/>
    </row>
    <row r="38" spans="1:13">
      <c r="A38" t="s">
        <v>65</v>
      </c>
      <c r="B38" s="16">
        <f t="shared" ca="1" si="7"/>
        <v>4529</v>
      </c>
      <c r="C38">
        <f t="shared" ca="1" si="8"/>
        <v>0</v>
      </c>
      <c r="D38">
        <f t="shared" ca="1" si="9"/>
        <v>0.138214111328125</v>
      </c>
      <c r="E38">
        <f t="shared" ca="1" si="10"/>
        <v>0</v>
      </c>
      <c r="M38" s="16"/>
    </row>
    <row r="39" spans="1:13">
      <c r="A39" t="s">
        <v>66</v>
      </c>
      <c r="B39" s="16">
        <f t="shared" ca="1" si="7"/>
        <v>9878</v>
      </c>
      <c r="C39">
        <f t="shared" ca="1" si="8"/>
        <v>0</v>
      </c>
      <c r="D39">
        <f t="shared" ca="1" si="9"/>
        <v>0.30145263671875</v>
      </c>
      <c r="E39">
        <f t="shared" ca="1" si="10"/>
        <v>1</v>
      </c>
      <c r="M39" s="16"/>
    </row>
    <row r="40" spans="1:13">
      <c r="A40" t="s">
        <v>67</v>
      </c>
      <c r="B40" s="16">
        <f t="shared" ca="1" si="7"/>
        <v>21015</v>
      </c>
      <c r="C40">
        <f t="shared" ca="1" si="8"/>
        <v>1</v>
      </c>
      <c r="D40">
        <f t="shared" ca="1" si="9"/>
        <v>0.641326904296875</v>
      </c>
      <c r="E40">
        <f t="shared" ca="1" si="10"/>
        <v>3</v>
      </c>
      <c r="M40" s="16"/>
    </row>
    <row r="41" spans="1:13">
      <c r="A41" t="s">
        <v>68</v>
      </c>
      <c r="B41" s="16">
        <f t="shared" ca="1" si="7"/>
        <v>9732</v>
      </c>
      <c r="C41">
        <f t="shared" ca="1" si="8"/>
        <v>0</v>
      </c>
      <c r="D41">
        <f t="shared" ca="1" si="9"/>
        <v>0.2969970703125</v>
      </c>
      <c r="E41">
        <f t="shared" ca="1" si="10"/>
        <v>1</v>
      </c>
      <c r="M41" s="16"/>
    </row>
    <row r="42" spans="1:13">
      <c r="A42" t="s">
        <v>69</v>
      </c>
      <c r="B42" s="16">
        <f t="shared" ca="1" si="7"/>
        <v>6125</v>
      </c>
      <c r="C42">
        <f t="shared" ca="1" si="8"/>
        <v>0</v>
      </c>
      <c r="D42">
        <f t="shared" ca="1" si="9"/>
        <v>0.186920166015625</v>
      </c>
      <c r="E42">
        <f t="shared" ca="1" si="10"/>
        <v>0</v>
      </c>
      <c r="M42" s="16"/>
    </row>
    <row r="43" spans="1:13">
      <c r="A43" t="s">
        <v>70</v>
      </c>
      <c r="B43" s="16">
        <f t="shared" ca="1" si="7"/>
        <v>5666</v>
      </c>
      <c r="C43">
        <f t="shared" ca="1" si="8"/>
        <v>0</v>
      </c>
      <c r="D43">
        <f t="shared" ca="1" si="9"/>
        <v>0.17291259765625</v>
      </c>
      <c r="E43">
        <f t="shared" ca="1" si="10"/>
        <v>0</v>
      </c>
      <c r="M43" s="16"/>
    </row>
    <row r="44" spans="1:13">
      <c r="A44" t="s">
        <v>71</v>
      </c>
      <c r="B44" s="16">
        <f t="shared" ca="1" si="7"/>
        <v>30899</v>
      </c>
      <c r="C44">
        <f t="shared" ca="1" si="8"/>
        <v>1</v>
      </c>
      <c r="D44">
        <f t="shared" ca="1" si="9"/>
        <v>0.942962646484375</v>
      </c>
      <c r="E44">
        <f t="shared" ca="1" si="10"/>
        <v>4</v>
      </c>
      <c r="M44" s="16"/>
    </row>
    <row r="45" spans="1:13">
      <c r="A45" t="s">
        <v>72</v>
      </c>
      <c r="B45" s="16">
        <f t="shared" ca="1" si="7"/>
        <v>7792</v>
      </c>
      <c r="C45">
        <f t="shared" ca="1" si="8"/>
        <v>0</v>
      </c>
      <c r="D45">
        <f t="shared" ca="1" si="9"/>
        <v>0.23779296875</v>
      </c>
      <c r="E45">
        <f t="shared" ca="1" si="10"/>
        <v>0</v>
      </c>
      <c r="M45" s="16"/>
    </row>
    <row r="46" spans="1:13">
      <c r="A46" t="s">
        <v>73</v>
      </c>
      <c r="B46" s="16">
        <f t="shared" ca="1" si="7"/>
        <v>17897</v>
      </c>
      <c r="C46">
        <f t="shared" ca="1" si="8"/>
        <v>1</v>
      </c>
      <c r="D46">
        <f t="shared" ca="1" si="9"/>
        <v>0.546173095703125</v>
      </c>
      <c r="E46">
        <f t="shared" ca="1" si="10"/>
        <v>3</v>
      </c>
    </row>
    <row r="47" spans="1:13">
      <c r="A47" t="s">
        <v>74</v>
      </c>
      <c r="B47" s="16">
        <f t="shared" ca="1" si="7"/>
        <v>29294</v>
      </c>
      <c r="C47">
        <f t="shared" ca="1" si="8"/>
        <v>1</v>
      </c>
      <c r="D47">
        <f t="shared" ca="1" si="9"/>
        <v>0.89398193359375</v>
      </c>
      <c r="E47">
        <f t="shared" ca="1" si="10"/>
        <v>4</v>
      </c>
    </row>
    <row r="48" spans="1:13">
      <c r="A48" t="s">
        <v>75</v>
      </c>
      <c r="B48" s="16">
        <f t="shared" ca="1" si="7"/>
        <v>27919</v>
      </c>
      <c r="C48">
        <f t="shared" ca="1" si="8"/>
        <v>1</v>
      </c>
      <c r="D48">
        <f t="shared" ca="1" si="9"/>
        <v>0.852020263671875</v>
      </c>
      <c r="E48">
        <f t="shared" ca="1" si="10"/>
        <v>4</v>
      </c>
    </row>
    <row r="49" spans="1:5">
      <c r="A49" t="s">
        <v>76</v>
      </c>
      <c r="B49" s="16">
        <f t="shared" ca="1" si="7"/>
        <v>12700</v>
      </c>
      <c r="C49">
        <f t="shared" ca="1" si="8"/>
        <v>0</v>
      </c>
      <c r="D49">
        <f t="shared" ca="1" si="9"/>
        <v>0.3875732421875</v>
      </c>
      <c r="E49">
        <f t="shared" ca="1" si="10"/>
        <v>1</v>
      </c>
    </row>
    <row r="50" spans="1:5">
      <c r="A50" t="s">
        <v>77</v>
      </c>
      <c r="B50" s="16">
        <f t="shared" ca="1" si="7"/>
        <v>22437</v>
      </c>
      <c r="C50">
        <f t="shared" ca="1" si="8"/>
        <v>1</v>
      </c>
      <c r="D50">
        <f t="shared" ca="1" si="9"/>
        <v>0.684722900390625</v>
      </c>
      <c r="E50">
        <f t="shared" ca="1" si="10"/>
        <v>3</v>
      </c>
    </row>
    <row r="51" spans="1:5">
      <c r="A51" t="s">
        <v>78</v>
      </c>
      <c r="B51" s="16">
        <f t="shared" ca="1" si="7"/>
        <v>18298</v>
      </c>
      <c r="C51">
        <f t="shared" ca="1" si="8"/>
        <v>1</v>
      </c>
      <c r="D51">
        <f t="shared" ca="1" si="9"/>
        <v>0.55841064453125</v>
      </c>
      <c r="E51">
        <f t="shared" ca="1" si="10"/>
        <v>3</v>
      </c>
    </row>
    <row r="52" spans="1:5">
      <c r="A52" t="s">
        <v>79</v>
      </c>
      <c r="B52" s="16">
        <f t="shared" ca="1" si="7"/>
        <v>19243</v>
      </c>
      <c r="C52">
        <f t="shared" ca="1" si="8"/>
        <v>1</v>
      </c>
      <c r="D52">
        <f t="shared" ca="1" si="9"/>
        <v>0.587249755859375</v>
      </c>
      <c r="E52">
        <f t="shared" ca="1" si="10"/>
        <v>3</v>
      </c>
    </row>
    <row r="53" spans="1:5">
      <c r="A53" t="s">
        <v>80</v>
      </c>
      <c r="B53" s="16">
        <f t="shared" ca="1" si="7"/>
        <v>19336</v>
      </c>
      <c r="C53">
        <f t="shared" ca="1" si="8"/>
        <v>1</v>
      </c>
      <c r="D53">
        <f t="shared" ca="1" si="9"/>
        <v>0.590087890625</v>
      </c>
      <c r="E53">
        <f t="shared" ca="1" si="10"/>
        <v>3</v>
      </c>
    </row>
    <row r="54" spans="1:5">
      <c r="A54" t="s">
        <v>81</v>
      </c>
      <c r="B54" s="16">
        <f t="shared" ca="1" si="7"/>
        <v>18721</v>
      </c>
      <c r="C54">
        <f t="shared" ca="1" si="8"/>
        <v>1</v>
      </c>
      <c r="D54">
        <f t="shared" ca="1" si="9"/>
        <v>0.571319580078125</v>
      </c>
      <c r="E54">
        <f t="shared" ca="1" si="10"/>
        <v>3</v>
      </c>
    </row>
    <row r="55" spans="1:5">
      <c r="A55" t="s">
        <v>82</v>
      </c>
      <c r="B55" s="16">
        <f t="shared" ca="1" si="7"/>
        <v>24902</v>
      </c>
      <c r="C55">
        <f t="shared" ca="1" si="8"/>
        <v>1</v>
      </c>
      <c r="D55">
        <f t="shared" ca="1" si="9"/>
        <v>0.75994873046875</v>
      </c>
      <c r="E55">
        <f t="shared" ca="1" si="10"/>
        <v>4</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23ACA-9738-4B60-95AB-B3B2AD139FFF}">
  <dimension ref="B2:K34"/>
  <sheetViews>
    <sheetView workbookViewId="0">
      <selection activeCell="N46" sqref="M45:N46"/>
    </sheetView>
  </sheetViews>
  <sheetFormatPr defaultRowHeight="15"/>
  <cols>
    <col min="1" max="1" width="3.7109375" customWidth="1"/>
    <col min="2" max="2" width="21.28515625" style="1" bestFit="1" customWidth="1"/>
    <col min="3" max="3" width="22.28515625" style="1" bestFit="1" customWidth="1"/>
    <col min="4" max="5" width="10.42578125" style="1" customWidth="1"/>
    <col min="6" max="6" width="26.140625" customWidth="1"/>
    <col min="7" max="7" width="27.42578125" customWidth="1"/>
    <col min="8" max="8" width="26.140625" style="13" customWidth="1"/>
    <col min="9" max="9" width="24.85546875" style="2" customWidth="1"/>
    <col min="10" max="10" width="22.28515625" bestFit="1" customWidth="1"/>
  </cols>
  <sheetData>
    <row r="2" spans="2:9" ht="17.25">
      <c r="B2" s="14" t="s">
        <v>6</v>
      </c>
      <c r="C2" s="20" t="s">
        <v>83</v>
      </c>
      <c r="D2" s="194" t="s">
        <v>7</v>
      </c>
      <c r="E2" s="195"/>
      <c r="H2"/>
      <c r="I2"/>
    </row>
    <row r="3" spans="2:9">
      <c r="B3" s="13"/>
      <c r="C3" s="2"/>
      <c r="D3"/>
      <c r="E3"/>
      <c r="H3"/>
      <c r="I3"/>
    </row>
    <row r="4" spans="2:9" ht="15.75" thickBot="1">
      <c r="B4" s="13"/>
      <c r="C4" s="2"/>
      <c r="D4"/>
      <c r="E4"/>
      <c r="H4"/>
      <c r="I4"/>
    </row>
    <row r="5" spans="2:9" ht="17.25" thickTop="1" thickBot="1">
      <c r="B5" s="148" t="s">
        <v>8</v>
      </c>
      <c r="C5" s="149"/>
      <c r="D5"/>
      <c r="E5"/>
      <c r="H5"/>
      <c r="I5"/>
    </row>
    <row r="6" spans="2:9" ht="15.6" customHeight="1">
      <c r="B6" s="3" t="s">
        <v>9</v>
      </c>
      <c r="C6" s="4" t="s">
        <v>10</v>
      </c>
      <c r="D6"/>
      <c r="E6" s="196" t="s">
        <v>11</v>
      </c>
      <c r="F6" s="197"/>
      <c r="G6" s="198"/>
      <c r="H6"/>
      <c r="I6"/>
    </row>
    <row r="7" spans="2:9" ht="16.149999999999999" customHeight="1" thickBot="1">
      <c r="B7" s="5" t="s">
        <v>12</v>
      </c>
      <c r="C7" s="6" t="s">
        <v>13</v>
      </c>
      <c r="D7"/>
      <c r="E7" s="199" t="s">
        <v>14</v>
      </c>
      <c r="F7" s="200"/>
      <c r="G7" s="201"/>
      <c r="H7"/>
      <c r="I7"/>
    </row>
    <row r="8" spans="2:9" ht="15.75">
      <c r="B8" s="7" t="s">
        <v>15</v>
      </c>
      <c r="C8" s="6" t="s">
        <v>16</v>
      </c>
      <c r="D8"/>
      <c r="E8"/>
      <c r="H8"/>
      <c r="I8"/>
    </row>
    <row r="9" spans="2:9" ht="15.75">
      <c r="B9" s="8" t="s">
        <v>17</v>
      </c>
      <c r="C9" s="6" t="s">
        <v>18</v>
      </c>
      <c r="D9"/>
      <c r="E9"/>
      <c r="F9" s="182" t="s">
        <v>84</v>
      </c>
      <c r="G9" s="182"/>
      <c r="H9"/>
      <c r="I9"/>
    </row>
    <row r="10" spans="2:9" ht="16.5" thickBot="1">
      <c r="B10" s="9" t="s">
        <v>20</v>
      </c>
      <c r="C10" s="10" t="s">
        <v>21</v>
      </c>
      <c r="D10"/>
      <c r="E10"/>
      <c r="H10"/>
      <c r="I10"/>
    </row>
    <row r="11" spans="2:9" ht="15.75" thickTop="1"/>
    <row r="12" spans="2:9" ht="14.45" customHeight="1" thickBot="1">
      <c r="G12" s="13"/>
      <c r="H12" s="2"/>
      <c r="I12"/>
    </row>
    <row r="13" spans="2:9" ht="15.75" thickBot="1">
      <c r="F13" s="183" t="s">
        <v>22</v>
      </c>
      <c r="G13" s="184"/>
      <c r="H13" s="184"/>
      <c r="I13"/>
    </row>
    <row r="14" spans="2:9" ht="16.899999999999999" customHeight="1" thickBot="1">
      <c r="B14" s="79" t="s">
        <v>23</v>
      </c>
      <c r="C14" s="80"/>
      <c r="D14" s="80"/>
      <c r="E14" s="81"/>
      <c r="F14" s="185"/>
      <c r="G14" s="186"/>
      <c r="H14" s="186"/>
      <c r="I14"/>
    </row>
    <row r="15" spans="2:9">
      <c r="B15" s="82"/>
      <c r="C15" s="83"/>
      <c r="D15" s="83"/>
      <c r="E15" s="84"/>
      <c r="F15" s="187" t="s">
        <v>24</v>
      </c>
      <c r="G15" s="189" t="s">
        <v>25</v>
      </c>
      <c r="H15" s="202" t="s">
        <v>26</v>
      </c>
      <c r="I15" s="204"/>
    </row>
    <row r="16" spans="2:9" ht="15.75" thickBot="1">
      <c r="B16" s="85"/>
      <c r="C16" s="86"/>
      <c r="D16" s="86"/>
      <c r="E16" s="87"/>
      <c r="F16" s="188"/>
      <c r="G16" s="190"/>
      <c r="H16" s="203"/>
      <c r="I16" s="204"/>
    </row>
    <row r="17" spans="2:11" ht="30.75" thickBot="1">
      <c r="B17" s="79" t="str">
        <f ca="1">IF(C2="Your Name Here!", "Enter your name in C2 and your very own problem will appear here:)","Compute the final value of an account into which you make a one time deposite of  $"&amp;Random!J19&amp;" and leave the money for "&amp;Random!J20&amp;" years at an APR of "&amp;Random!J21&amp;"% with simple interest. Compute the interest earned.")</f>
        <v>Compute the final value of an account into which you make a one time deposite of  $5225 and leave the money for 8 years at an APR of 5.13% with simple interest. Compute the interest earned.</v>
      </c>
      <c r="C17" s="80"/>
      <c r="D17" s="80"/>
      <c r="E17" s="81"/>
      <c r="F17" s="191"/>
      <c r="G17" s="179" t="s">
        <v>27</v>
      </c>
      <c r="H17" s="33" t="s">
        <v>28</v>
      </c>
      <c r="I17" s="36" t="s">
        <v>29</v>
      </c>
    </row>
    <row r="18" spans="2:11" ht="34.9" customHeight="1" thickBot="1">
      <c r="B18" s="85"/>
      <c r="C18" s="86"/>
      <c r="D18" s="86"/>
      <c r="E18" s="87"/>
      <c r="F18" s="192"/>
      <c r="G18" s="180"/>
      <c r="H18" s="171">
        <f>Financial!B20*(1+Financial!C20*Financial!E20)</f>
        <v>0</v>
      </c>
      <c r="I18" s="168">
        <f>H18-Financial!B20</f>
        <v>0</v>
      </c>
    </row>
    <row r="19" spans="2:11">
      <c r="B19" s="11" t="s">
        <v>30</v>
      </c>
      <c r="C19" s="12" t="s">
        <v>31</v>
      </c>
      <c r="D19" s="12" t="s">
        <v>32</v>
      </c>
      <c r="E19" s="12" t="s">
        <v>33</v>
      </c>
      <c r="F19" s="192"/>
      <c r="G19" s="180"/>
      <c r="H19" s="172"/>
      <c r="I19" s="169"/>
    </row>
    <row r="20" spans="2:11" ht="15.75" thickBot="1">
      <c r="B20" s="25">
        <f ca="1">Random!J19</f>
        <v>5225</v>
      </c>
      <c r="C20" s="26">
        <f ca="1">Random!J21%</f>
        <v>5.1299999999999998E-2</v>
      </c>
      <c r="D20" s="19">
        <v>12</v>
      </c>
      <c r="E20" s="19">
        <f ca="1">Random!J20</f>
        <v>8</v>
      </c>
      <c r="F20" s="193"/>
      <c r="G20" s="181"/>
      <c r="H20" s="173"/>
      <c r="I20" s="170"/>
    </row>
    <row r="21" spans="2:11" ht="14.45" customHeight="1" thickBot="1">
      <c r="B21" s="79" t="str">
        <f ca="1">IF(C2="Your Name Here!", "Enter your name in C2 and your very own problem will appear here:)","Compute the final value of an account into which you make a one time deposite of  $"&amp;Random!J19&amp;" and leave the money for "&amp;Random!J20&amp;" years at an APR of "&amp;Random!J21&amp;"% with compounded monthly. Compute the interest earned.")</f>
        <v>Compute the final value of an account into which you make a one time deposite of  $5225 and leave the money for 8 years at an APR of 5.13% with compounded monthly. Compute the interest earned.</v>
      </c>
      <c r="C21" s="80"/>
      <c r="D21" s="80"/>
      <c r="E21" s="174"/>
      <c r="F21" s="176"/>
      <c r="G21" s="179" t="s">
        <v>34</v>
      </c>
      <c r="H21" s="34" t="s">
        <v>28</v>
      </c>
      <c r="I21" s="37" t="s">
        <v>29</v>
      </c>
      <c r="J21" s="18"/>
      <c r="K21" s="15"/>
    </row>
    <row r="22" spans="2:11" ht="35.450000000000003" customHeight="1" thickBot="1">
      <c r="B22" s="85"/>
      <c r="C22" s="86"/>
      <c r="D22" s="86"/>
      <c r="E22" s="175"/>
      <c r="F22" s="177"/>
      <c r="G22" s="180"/>
      <c r="H22" s="168" t="e">
        <f>Financial!B24*(1+Financial!C24/Financial!D24)^(Financial!D24*Financial!E24)</f>
        <v>#DIV/0!</v>
      </c>
      <c r="I22" s="171" t="e">
        <f>H22-Financial!B24</f>
        <v>#DIV/0!</v>
      </c>
      <c r="J22" s="41">
        <f ca="1">ROUND(B24*(1+C24/D24)^(D24*E24),0)</f>
        <v>7869</v>
      </c>
      <c r="K22" s="15"/>
    </row>
    <row r="23" spans="2:11">
      <c r="B23" s="11" t="s">
        <v>30</v>
      </c>
      <c r="C23" s="12" t="s">
        <v>31</v>
      </c>
      <c r="D23" s="12" t="s">
        <v>32</v>
      </c>
      <c r="E23" s="12" t="s">
        <v>33</v>
      </c>
      <c r="F23" s="177"/>
      <c r="G23" s="180"/>
      <c r="H23" s="169"/>
      <c r="I23" s="172"/>
      <c r="J23" s="18"/>
      <c r="K23" s="15"/>
    </row>
    <row r="24" spans="2:11" ht="15.75" thickBot="1">
      <c r="B24" s="25">
        <f ca="1">Random!J19</f>
        <v>5225</v>
      </c>
      <c r="C24" s="26">
        <f ca="1">Random!J21%</f>
        <v>5.1299999999999998E-2</v>
      </c>
      <c r="D24" s="19">
        <v>12</v>
      </c>
      <c r="E24" s="19">
        <f ca="1">Random!J20</f>
        <v>8</v>
      </c>
      <c r="F24" s="178"/>
      <c r="G24" s="181"/>
      <c r="H24" s="170"/>
      <c r="I24" s="173"/>
      <c r="J24" s="18"/>
      <c r="K24" s="15"/>
    </row>
    <row r="25" spans="2:11" ht="14.45" customHeight="1" thickBot="1">
      <c r="B25" s="79" t="str">
        <f ca="1">IF(C2="Your Name Here!", "Enter your name in C2 and your very own problem will appear here:)","Compute the final value of an account into which you put  $"&amp;Random!I19&amp;" monthly for "&amp;Random!J20&amp;" years at an APR of "&amp;Random!J21&amp;"% compounded monthly. Compute the interest earned.")</f>
        <v>Compute the final value of an account into which you put  $54.43 monthly for 8 years at an APR of 5.13% compounded monthly. Compute the interest earned.</v>
      </c>
      <c r="C25" s="80"/>
      <c r="D25" s="80"/>
      <c r="E25" s="80"/>
      <c r="F25" s="162"/>
      <c r="G25" s="165" t="s">
        <v>35</v>
      </c>
      <c r="H25" s="35" t="s">
        <v>28</v>
      </c>
      <c r="I25" s="37" t="s">
        <v>36</v>
      </c>
      <c r="J25" s="27" t="s">
        <v>37</v>
      </c>
      <c r="K25" s="15"/>
    </row>
    <row r="26" spans="2:11">
      <c r="B26" s="82"/>
      <c r="C26" s="83"/>
      <c r="D26" s="83"/>
      <c r="E26" s="83"/>
      <c r="F26" s="163"/>
      <c r="G26" s="166"/>
      <c r="H26" s="168" t="e">
        <f>Financial!B29*((1+Financial!C29/Financial!D29)^(Financial!D29*Financial!E29)-1)/(Financial!C29/Financial!D29)</f>
        <v>#DIV/0!</v>
      </c>
      <c r="I26" s="171">
        <f>Financial!B29*Financial!D29*Financial!E29</f>
        <v>0</v>
      </c>
      <c r="J26" s="159" t="e">
        <f>H26-I26</f>
        <v>#DIV/0!</v>
      </c>
      <c r="K26" s="15"/>
    </row>
    <row r="27" spans="2:11" ht="19.149999999999999" customHeight="1" thickBot="1">
      <c r="B27" s="85"/>
      <c r="C27" s="86"/>
      <c r="D27" s="86"/>
      <c r="E27" s="86"/>
      <c r="F27" s="163"/>
      <c r="G27" s="166"/>
      <c r="H27" s="169"/>
      <c r="I27" s="172"/>
      <c r="J27" s="160"/>
      <c r="K27" s="15"/>
    </row>
    <row r="28" spans="2:11">
      <c r="B28" s="11" t="s">
        <v>30</v>
      </c>
      <c r="C28" s="12" t="s">
        <v>31</v>
      </c>
      <c r="D28" s="12" t="s">
        <v>32</v>
      </c>
      <c r="E28" s="28" t="s">
        <v>33</v>
      </c>
      <c r="F28" s="163"/>
      <c r="G28" s="166"/>
      <c r="H28" s="169"/>
      <c r="I28" s="172"/>
      <c r="J28" s="160"/>
    </row>
    <row r="29" spans="2:11" ht="15.75" thickBot="1">
      <c r="B29" s="29">
        <f ca="1">Random!I19</f>
        <v>54.43</v>
      </c>
      <c r="C29" s="30">
        <f ca="1">Random!J21%</f>
        <v>5.1299999999999998E-2</v>
      </c>
      <c r="D29" s="31">
        <v>12</v>
      </c>
      <c r="E29" s="32">
        <f ca="1">Random!J20</f>
        <v>8</v>
      </c>
      <c r="F29" s="164"/>
      <c r="G29" s="167"/>
      <c r="H29" s="170"/>
      <c r="I29" s="173"/>
      <c r="J29" s="161"/>
    </row>
    <row r="30" spans="2:11" ht="30.75" thickBot="1">
      <c r="B30" s="79" t="e">
        <f ca="1">IF(C2="Your Name Here!", "Enter your name in C2 and your very own problem will appear here:)","Compute the monthly payment (P) required to reach a future amount (FV) of $"&amp;ROUND(Solutions!H22,2)&amp;" after "&amp;Random!J20&amp;" years at an APR of "&amp;Random!J21&amp;"% compounded monthly. Compute the total invested and the interest earned.")</f>
        <v>#DIV/0!</v>
      </c>
      <c r="C30" s="80"/>
      <c r="D30" s="80"/>
      <c r="E30" s="80"/>
      <c r="F30" s="162"/>
      <c r="G30" s="165" t="s">
        <v>95</v>
      </c>
      <c r="H30" s="35" t="s">
        <v>94</v>
      </c>
      <c r="I30" s="37" t="s">
        <v>36</v>
      </c>
      <c r="J30" s="38" t="s">
        <v>37</v>
      </c>
    </row>
    <row r="31" spans="2:11">
      <c r="B31" s="82"/>
      <c r="C31" s="83"/>
      <c r="D31" s="83"/>
      <c r="E31" s="83"/>
      <c r="F31" s="163"/>
      <c r="G31" s="166"/>
      <c r="H31" s="168" t="e">
        <f>Financial!B34*(Financial!C34/Financial!D34)/((1+Financial!C34/Financial!D34)^(Financial!D34*Financial!E34)-1)</f>
        <v>#DIV/0!</v>
      </c>
      <c r="I31" s="171" t="e">
        <f>H31*Financial!D34*Financial!E34</f>
        <v>#DIV/0!</v>
      </c>
      <c r="J31" s="159" t="e">
        <f>Financial!B34-Solutions!I31</f>
        <v>#DIV/0!</v>
      </c>
    </row>
    <row r="32" spans="2:11" ht="15.75" thickBot="1">
      <c r="B32" s="85"/>
      <c r="C32" s="86"/>
      <c r="D32" s="86"/>
      <c r="E32" s="86"/>
      <c r="F32" s="163"/>
      <c r="G32" s="166"/>
      <c r="H32" s="169"/>
      <c r="I32" s="172"/>
      <c r="J32" s="160"/>
    </row>
    <row r="33" spans="2:10">
      <c r="B33" s="11" t="s">
        <v>93</v>
      </c>
      <c r="C33" s="12" t="s">
        <v>31</v>
      </c>
      <c r="D33" s="12" t="s">
        <v>32</v>
      </c>
      <c r="E33" s="28" t="s">
        <v>33</v>
      </c>
      <c r="F33" s="163"/>
      <c r="G33" s="166"/>
      <c r="H33" s="169"/>
      <c r="I33" s="172"/>
      <c r="J33" s="160"/>
    </row>
    <row r="34" spans="2:10" ht="15.75" thickBot="1">
      <c r="B34" s="29">
        <f ca="1">J22</f>
        <v>7869</v>
      </c>
      <c r="C34" s="30">
        <f ca="1">C29</f>
        <v>5.1299999999999998E-2</v>
      </c>
      <c r="D34" s="31">
        <f>D29</f>
        <v>12</v>
      </c>
      <c r="E34" s="32">
        <f ca="1">E29</f>
        <v>8</v>
      </c>
      <c r="F34" s="164"/>
      <c r="G34" s="167"/>
      <c r="H34" s="170"/>
      <c r="I34" s="173"/>
      <c r="J34" s="161"/>
    </row>
  </sheetData>
  <sheetProtection algorithmName="SHA-512" hashValue="0drcGcBptdPjKYjxlrLCv8ldFhFAN9pxyHQIKqb75qpkjn1xDK2YCfnqzKn5wjYb+xD2XBby9mzwjXOH51eGTw==" saltValue="o5me4X/+omJPHU3V7qrs0g==" spinCount="100000" sheet="1" objects="1" scenarios="1"/>
  <mergeCells count="33">
    <mergeCell ref="D2:E2"/>
    <mergeCell ref="E6:G6"/>
    <mergeCell ref="E7:G7"/>
    <mergeCell ref="H15:H16"/>
    <mergeCell ref="I15:I16"/>
    <mergeCell ref="H18:H20"/>
    <mergeCell ref="I18:I20"/>
    <mergeCell ref="B5:C5"/>
    <mergeCell ref="F9:G9"/>
    <mergeCell ref="F13:H14"/>
    <mergeCell ref="B14:E16"/>
    <mergeCell ref="F15:F16"/>
    <mergeCell ref="G15:G16"/>
    <mergeCell ref="B17:E18"/>
    <mergeCell ref="F17:F20"/>
    <mergeCell ref="G17:G20"/>
    <mergeCell ref="B21:E22"/>
    <mergeCell ref="F21:F24"/>
    <mergeCell ref="G21:G24"/>
    <mergeCell ref="H22:H24"/>
    <mergeCell ref="I22:I24"/>
    <mergeCell ref="J26:J29"/>
    <mergeCell ref="B25:E27"/>
    <mergeCell ref="F25:F29"/>
    <mergeCell ref="G25:G29"/>
    <mergeCell ref="H26:H29"/>
    <mergeCell ref="I26:I29"/>
    <mergeCell ref="J31:J34"/>
    <mergeCell ref="B30:E32"/>
    <mergeCell ref="F30:F34"/>
    <mergeCell ref="G30:G34"/>
    <mergeCell ref="H31:H34"/>
    <mergeCell ref="I31:I34"/>
  </mergeCells>
  <conditionalFormatting sqref="H18:I18">
    <cfRule type="expression" dxfId="6" priority="5">
      <formula>AND(NOT(ISBLANK(H18)),ABS(H18-H19)&lt;0.01)</formula>
    </cfRule>
  </conditionalFormatting>
  <conditionalFormatting sqref="H22:I22">
    <cfRule type="expression" dxfId="5" priority="6">
      <formula>AND(NOT(ISBLANK(H22)),ABS(H22-H19)&lt;0.01)</formula>
    </cfRule>
    <cfRule type="expression" dxfId="4" priority="7">
      <formula>AND(NOT(ISBLANK(H22)),ABS(H22-H21)&lt;0.01)</formula>
    </cfRule>
  </conditionalFormatting>
  <conditionalFormatting sqref="H26:J26">
    <cfRule type="expression" dxfId="3" priority="3">
      <formula>AND(NOT(ISBLANK(H26)),ABS(H26-H23)&lt;0.01)</formula>
    </cfRule>
    <cfRule type="expression" dxfId="2" priority="4">
      <formula>AND(NOT(ISBLANK(H26)),ABS(H26-H21)&lt;0.01)</formula>
    </cfRule>
  </conditionalFormatting>
  <conditionalFormatting sqref="H31:J34">
    <cfRule type="expression" dxfId="1" priority="1" stopIfTrue="1">
      <formula>NOT(OR(_xlfn.ISFORMULA(H31),ISBLANK(H31)))</formula>
    </cfRule>
    <cfRule type="expression" dxfId="0" priority="2">
      <formula>AND(NOT(ISBLANK(H31)),ABS(H31-H31)&lt;0.01)</formula>
    </cfRule>
  </conditionalFormatting>
  <hyperlinks>
    <hyperlink ref="F9:G9" r:id="rId1" display="Video for this formula" xr:uid="{7FD98813-0D01-44B3-99F3-4B5C6AEB2959}"/>
  </hyperlink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A50BF-02FC-4EE6-9030-64547612BD39}">
  <dimension ref="B2:H11"/>
  <sheetViews>
    <sheetView workbookViewId="0">
      <selection activeCell="K10" sqref="K10"/>
    </sheetView>
  </sheetViews>
  <sheetFormatPr defaultRowHeight="15"/>
  <sheetData>
    <row r="2" spans="2:8">
      <c r="B2" s="205" t="s">
        <v>85</v>
      </c>
      <c r="C2" s="205"/>
      <c r="D2" s="205"/>
      <c r="E2" s="205"/>
      <c r="F2" s="205"/>
      <c r="G2" s="205"/>
      <c r="H2" s="205"/>
    </row>
    <row r="3" spans="2:8">
      <c r="B3" s="205"/>
      <c r="C3" s="205"/>
      <c r="D3" s="205"/>
      <c r="E3" s="205"/>
      <c r="F3" s="205"/>
      <c r="G3" s="205"/>
      <c r="H3" s="205"/>
    </row>
    <row r="4" spans="2:8">
      <c r="B4" s="205"/>
      <c r="C4" s="205"/>
      <c r="D4" s="205"/>
      <c r="E4" s="205"/>
      <c r="F4" s="205"/>
      <c r="G4" s="205"/>
      <c r="H4" s="205"/>
    </row>
    <row r="5" spans="2:8">
      <c r="B5" s="205"/>
      <c r="C5" s="205"/>
      <c r="D5" s="205"/>
      <c r="E5" s="205"/>
      <c r="F5" s="205"/>
      <c r="G5" s="205"/>
      <c r="H5" s="205"/>
    </row>
    <row r="6" spans="2:8">
      <c r="B6" s="205"/>
      <c r="C6" s="205"/>
      <c r="D6" s="205"/>
      <c r="E6" s="205"/>
      <c r="F6" s="205"/>
      <c r="G6" s="205"/>
      <c r="H6" s="205"/>
    </row>
    <row r="7" spans="2:8">
      <c r="B7" s="205"/>
      <c r="C7" s="205"/>
      <c r="D7" s="205"/>
      <c r="E7" s="205"/>
      <c r="F7" s="205"/>
      <c r="G7" s="205"/>
      <c r="H7" s="205"/>
    </row>
    <row r="8" spans="2:8">
      <c r="B8" s="205"/>
      <c r="C8" s="205"/>
      <c r="D8" s="205"/>
      <c r="E8" s="205"/>
      <c r="F8" s="205"/>
      <c r="G8" s="205"/>
      <c r="H8" s="205"/>
    </row>
    <row r="9" spans="2:8">
      <c r="B9" s="205"/>
      <c r="C9" s="205"/>
      <c r="D9" s="205"/>
      <c r="E9" s="205"/>
      <c r="F9" s="205"/>
      <c r="G9" s="205"/>
      <c r="H9" s="205"/>
    </row>
    <row r="10" spans="2:8">
      <c r="B10" s="205"/>
      <c r="C10" s="205"/>
      <c r="D10" s="205"/>
      <c r="E10" s="205"/>
      <c r="F10" s="205"/>
      <c r="G10" s="205"/>
      <c r="H10" s="205"/>
    </row>
    <row r="11" spans="2:8">
      <c r="B11" s="205"/>
      <c r="C11" s="205"/>
      <c r="D11" s="205"/>
      <c r="E11" s="205"/>
      <c r="F11" s="205"/>
      <c r="G11" s="205"/>
      <c r="H11" s="205"/>
    </row>
  </sheetData>
  <mergeCells count="1">
    <mergeCell ref="B2:H1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28D67A-ACE8-4C76-8511-B437250C88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18A24C3-90E3-418A-8A86-1647DBF244A0}">
  <ds:schemaRefs>
    <ds:schemaRef ds:uri="http://schemas.microsoft.com/office/2006/metadata/properties"/>
    <ds:schemaRef ds:uri="http://schemas.microsoft.com/office/infopath/2007/PartnerControls"/>
    <ds:schemaRef ds:uri="cca9fd2d-ef84-45c9-8063-8f4bd4c29606"/>
  </ds:schemaRefs>
</ds:datastoreItem>
</file>

<file path=customXml/itemProps3.xml><?xml version="1.0" encoding="utf-8"?>
<ds:datastoreItem xmlns:ds="http://schemas.openxmlformats.org/officeDocument/2006/customXml" ds:itemID="{B72C8343-FD67-49E2-BAD6-A975045FBBE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Goals and Instructions</vt:lpstr>
      <vt:lpstr>Financial</vt:lpstr>
      <vt:lpstr>Random</vt:lpstr>
      <vt:lpstr>Solutions</vt:lpstr>
      <vt:lpstr>Sheet1</vt:lpstr>
    </vt:vector>
  </TitlesOfParts>
  <Manager/>
  <Company>Grand Canyon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2023-07-20T23:59:47Z</dcterms:created>
  <dcterms:modified xsi:type="dcterms:W3CDTF">2026-07-16T19:39:35Z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0x0101002C289946819CFF499E91D197BC975371</vt:lpwstr>
  </property>
</Properties>
</file>