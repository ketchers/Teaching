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cumail-my.sharepoint.com/personal/richard_ketchersid_gcu_edu/Documents/Course Materials/git/Teaching/144F20/Topic 3/"/>
    </mc:Choice>
  </mc:AlternateContent>
  <xr:revisionPtr revIDLastSave="13" documentId="10_ncr:80_{FE07CE70-4AD8-4729-8CEC-9EA745513535}" xr6:coauthVersionLast="47" xr6:coauthVersionMax="47" xr10:uidLastSave="{8E9B77EE-BBF3-4132-B1D9-EFD68F460FAD}"/>
  <bookViews>
    <workbookView xWindow="-120" yWindow="-120" windowWidth="29040" windowHeight="15720" xr2:uid="{0E835B87-0F00-4DF3-8488-BA3E1D614520}"/>
  </bookViews>
  <sheets>
    <sheet name="Constant Change" sheetId="1" r:id="rId1"/>
    <sheet name="Users" sheetId="7" state="hidden" r:id="rId2"/>
    <sheet name="Constant Percent Change" sheetId="2" r:id="rId3"/>
    <sheet name="Puzzle 1" sheetId="3" r:id="rId4"/>
    <sheet name="Puzzle 2" sheetId="4" r:id="rId5"/>
    <sheet name="Sheet2" sheetId="5" state="hidden" r:id="rId6"/>
    <sheet name="Sheet1" sheetId="6" state="hidden" r:id="rId7"/>
  </sheets>
  <definedNames>
    <definedName name="_xlchart.v1.0" hidden="1">Sheet2!$D$12:$D$33</definedName>
    <definedName name="Z_86163F03_5311_4FD3_9F34_A891F9AC9F16_.wvu.Rows" localSheetId="3" hidden="1">'Puzzle 1'!$35:$35</definedName>
    <definedName name="Z_86163F03_5311_4FD3_9F34_A891F9AC9F16_.wvu.Rows" localSheetId="4" hidden="1">'Puzzle 2'!$38:$39</definedName>
  </definedNames>
  <calcPr calcId="191029" iterate="1"/>
  <customWorkbookViews>
    <customWorkbookView name="Richard Ketchersid - Personal View" guid="{86163F03-5311-4FD3-9F34-A891F9AC9F16}" mergeInterval="0" personalView="1" xWindow="184" yWindow="91" windowWidth="1650" windowHeight="93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" i="7" l="1"/>
  <c r="F19" i="1"/>
  <c r="B7" i="5" l="1"/>
  <c r="B8" i="5"/>
  <c r="C8" i="5" s="1"/>
  <c r="B9" i="5"/>
  <c r="B10" i="5"/>
  <c r="C10" i="5" s="1"/>
  <c r="B6" i="5"/>
  <c r="C6" i="5" s="1"/>
  <c r="F20" i="2"/>
  <c r="C7" i="5" l="1"/>
  <c r="C9" i="5"/>
  <c r="D9" i="5" s="1"/>
  <c r="D10" i="5"/>
  <c r="D8" i="5"/>
  <c r="D6" i="5"/>
  <c r="E8" i="5"/>
  <c r="E9" i="5"/>
  <c r="E10" i="5"/>
  <c r="E6" i="5"/>
  <c r="D7" i="5" l="1"/>
  <c r="E7" i="5"/>
  <c r="B11" i="5" l="1"/>
  <c r="B12" i="5" s="1"/>
  <c r="D12" i="5" l="1"/>
  <c r="E12" i="5" s="1"/>
  <c r="C8" i="2"/>
  <c r="C8" i="1"/>
  <c r="B13" i="5"/>
  <c r="C12" i="5"/>
  <c r="D13" i="5" l="1"/>
  <c r="B14" i="5"/>
  <c r="B15" i="5" l="1"/>
  <c r="D14" i="5"/>
  <c r="E13" i="5"/>
  <c r="C13" i="5"/>
  <c r="C14" i="5" l="1"/>
  <c r="E14" i="5"/>
  <c r="D15" i="5"/>
  <c r="C9" i="1" s="1"/>
  <c r="B16" i="5"/>
  <c r="C10" i="1" l="1"/>
  <c r="D9" i="1"/>
  <c r="F9" i="1" s="1"/>
  <c r="E9" i="1"/>
  <c r="I9" i="1" s="1"/>
  <c r="D16" i="5"/>
  <c r="B17" i="5"/>
  <c r="C9" i="2"/>
  <c r="E15" i="5"/>
  <c r="C15" i="5"/>
  <c r="C10" i="2" l="1"/>
  <c r="E9" i="2"/>
  <c r="I9" i="2" s="1"/>
  <c r="D9" i="2"/>
  <c r="F9" i="2" s="1"/>
  <c r="B18" i="5"/>
  <c r="D17" i="5"/>
  <c r="E16" i="5"/>
  <c r="C16" i="5"/>
  <c r="D10" i="1"/>
  <c r="F10" i="1" s="1"/>
  <c r="C11" i="1"/>
  <c r="E10" i="1"/>
  <c r="I10" i="1" s="1"/>
  <c r="C17" i="5" l="1"/>
  <c r="E17" i="5"/>
  <c r="B19" i="5"/>
  <c r="D18" i="5"/>
  <c r="D11" i="1"/>
  <c r="F11" i="1" s="1"/>
  <c r="E11" i="1"/>
  <c r="I11" i="1" s="1"/>
  <c r="C12" i="1"/>
  <c r="C11" i="2"/>
  <c r="E10" i="2"/>
  <c r="I10" i="2" s="1"/>
  <c r="D10" i="2"/>
  <c r="F10" i="2" s="1"/>
  <c r="C12" i="2" l="1"/>
  <c r="D11" i="2"/>
  <c r="F11" i="2" s="1"/>
  <c r="E11" i="2"/>
  <c r="I11" i="2" s="1"/>
  <c r="E12" i="1"/>
  <c r="I12" i="1" s="1"/>
  <c r="C13" i="1"/>
  <c r="D12" i="1"/>
  <c r="F12" i="1" s="1"/>
  <c r="C18" i="5"/>
  <c r="E18" i="5"/>
  <c r="D19" i="5"/>
  <c r="B20" i="5"/>
  <c r="D13" i="1" l="1"/>
  <c r="F13" i="1" s="1"/>
  <c r="C14" i="1"/>
  <c r="E13" i="1"/>
  <c r="I13" i="1" s="1"/>
  <c r="B21" i="5"/>
  <c r="D20" i="5"/>
  <c r="E19" i="5"/>
  <c r="C19" i="5"/>
  <c r="E12" i="2"/>
  <c r="I12" i="2" s="1"/>
  <c r="D12" i="2"/>
  <c r="F12" i="2" s="1"/>
  <c r="C13" i="2"/>
  <c r="C20" i="5" l="1"/>
  <c r="E20" i="5"/>
  <c r="B22" i="5"/>
  <c r="D21" i="5"/>
  <c r="C14" i="2"/>
  <c r="D13" i="2"/>
  <c r="F13" i="2" s="1"/>
  <c r="E13" i="2"/>
  <c r="I13" i="2" s="1"/>
  <c r="C15" i="1"/>
  <c r="D14" i="1"/>
  <c r="F14" i="1" s="1"/>
  <c r="E14" i="1"/>
  <c r="I14" i="1" s="1"/>
  <c r="D15" i="1" l="1"/>
  <c r="F15" i="1" s="1"/>
  <c r="C16" i="1"/>
  <c r="E15" i="1"/>
  <c r="I15" i="1" s="1"/>
  <c r="C15" i="2"/>
  <c r="E14" i="2"/>
  <c r="I14" i="2" s="1"/>
  <c r="D14" i="2"/>
  <c r="F14" i="2" s="1"/>
  <c r="C21" i="5"/>
  <c r="E21" i="5"/>
  <c r="D22" i="5"/>
  <c r="B23" i="5"/>
  <c r="E15" i="2" l="1"/>
  <c r="I15" i="2" s="1"/>
  <c r="C16" i="2"/>
  <c r="D15" i="2"/>
  <c r="F15" i="2" s="1"/>
  <c r="D23" i="5"/>
  <c r="B24" i="5"/>
  <c r="E16" i="1"/>
  <c r="I16" i="1" s="1"/>
  <c r="D16" i="1"/>
  <c r="F16" i="1" s="1"/>
  <c r="C17" i="1"/>
  <c r="E22" i="5"/>
  <c r="C22" i="5"/>
  <c r="E17" i="1" l="1"/>
  <c r="I17" i="1" s="1"/>
  <c r="D17" i="1"/>
  <c r="F17" i="1" s="1"/>
  <c r="C18" i="1"/>
  <c r="B25" i="5"/>
  <c r="D24" i="5"/>
  <c r="E23" i="5"/>
  <c r="C23" i="5"/>
  <c r="D16" i="2"/>
  <c r="F16" i="2" s="1"/>
  <c r="C17" i="2"/>
  <c r="E16" i="2"/>
  <c r="I16" i="2" s="1"/>
  <c r="C18" i="2" l="1"/>
  <c r="D17" i="2"/>
  <c r="F17" i="2" s="1"/>
  <c r="E17" i="2"/>
  <c r="I17" i="2" s="1"/>
  <c r="C24" i="5"/>
  <c r="E24" i="5"/>
  <c r="B26" i="5"/>
  <c r="D25" i="5"/>
  <c r="E18" i="1"/>
  <c r="I18" i="1" s="1"/>
  <c r="D18" i="1"/>
  <c r="F18" i="1" s="1"/>
  <c r="E25" i="5" l="1"/>
  <c r="C25" i="5"/>
  <c r="B27" i="5"/>
  <c r="D26" i="5"/>
  <c r="D20" i="1"/>
  <c r="F20" i="1" s="1"/>
  <c r="D18" i="2"/>
  <c r="F18" i="2" s="1"/>
  <c r="E18" i="2"/>
  <c r="I18" i="2" l="1"/>
  <c r="E20" i="2"/>
  <c r="I20" i="2" s="1"/>
  <c r="B28" i="5"/>
  <c r="D27" i="5"/>
  <c r="C26" i="5"/>
  <c r="E26" i="5"/>
  <c r="E27" i="5" l="1"/>
  <c r="C27" i="5"/>
  <c r="B11" i="3"/>
  <c r="D28" i="5"/>
  <c r="B29" i="5"/>
  <c r="B11" i="4"/>
  <c r="D29" i="5" l="1"/>
  <c r="B30" i="5"/>
  <c r="E28" i="5"/>
  <c r="C28" i="5"/>
  <c r="D30" i="5" l="1"/>
  <c r="B31" i="5"/>
  <c r="E29" i="5"/>
  <c r="C29" i="5"/>
  <c r="D31" i="5" l="1"/>
  <c r="B32" i="5"/>
  <c r="C30" i="5"/>
  <c r="E30" i="5"/>
  <c r="B33" i="5" l="1"/>
  <c r="D33" i="5" s="1"/>
  <c r="D32" i="5"/>
  <c r="E31" i="5"/>
  <c r="C31" i="5"/>
  <c r="E32" i="5" l="1"/>
  <c r="C32" i="5"/>
  <c r="C33" i="5"/>
  <c r="E33" i="5"/>
  <c r="B12" i="3" l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12" i="4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F1" i="7" l="1"/>
  <c r="M1" i="7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</calcChain>
</file>

<file path=xl/sharedStrings.xml><?xml version="1.0" encoding="utf-8"?>
<sst xmlns="http://schemas.openxmlformats.org/spreadsheetml/2006/main" count="148" uniqueCount="89">
  <si>
    <t>Period</t>
  </si>
  <si>
    <t>Change</t>
  </si>
  <si>
    <t>Percent Change</t>
  </si>
  <si>
    <t>Seed</t>
  </si>
  <si>
    <t>Rand1</t>
  </si>
  <si>
    <t>Rand2</t>
  </si>
  <si>
    <t>Rand3</t>
  </si>
  <si>
    <t>Rand4</t>
  </si>
  <si>
    <t>Rand5</t>
  </si>
  <si>
    <t>Rand6</t>
  </si>
  <si>
    <t>Rand7</t>
  </si>
  <si>
    <t>Rand8</t>
  </si>
  <si>
    <t>Rand9</t>
  </si>
  <si>
    <t>Rand10</t>
  </si>
  <si>
    <t>Rand11</t>
  </si>
  <si>
    <t>Rand12</t>
  </si>
  <si>
    <t>Rand13</t>
  </si>
  <si>
    <t>Rand14</t>
  </si>
  <si>
    <t>Rand15</t>
  </si>
  <si>
    <t>Rand16</t>
  </si>
  <si>
    <t>Rand17</t>
  </si>
  <si>
    <t>Rand18</t>
  </si>
  <si>
    <t>Rand19</t>
  </si>
  <si>
    <t>Rand20</t>
  </si>
  <si>
    <t>Rand21</t>
  </si>
  <si>
    <t>Rand22</t>
  </si>
  <si>
    <t>Value</t>
  </si>
  <si>
    <t>Q₀</t>
  </si>
  <si>
    <t>Q₁</t>
  </si>
  <si>
    <t>Q₂</t>
  </si>
  <si>
    <t>Q₃</t>
  </si>
  <si>
    <t>Q₄</t>
  </si>
  <si>
    <t>Q₅</t>
  </si>
  <si>
    <t>Q₆</t>
  </si>
  <si>
    <t>Q₇</t>
  </si>
  <si>
    <t>Q₈</t>
  </si>
  <si>
    <t>Q₉</t>
  </si>
  <si>
    <t>Q₁₀</t>
  </si>
  <si>
    <t>Formula using change</t>
  </si>
  <si>
    <t>n</t>
  </si>
  <si>
    <t>Qₙ</t>
  </si>
  <si>
    <t>???</t>
  </si>
  <si>
    <t>⋮</t>
  </si>
  <si>
    <t>Formula using percent change</t>
  </si>
  <si>
    <t>Change = Growth</t>
  </si>
  <si>
    <t>So the model derived here is the same if we model a fixed growth (per period) or a fixed change (per period). The period can be any fixed amount of time, e.g., year, day, hour, etc.</t>
  </si>
  <si>
    <t>So the model derived here is the same if we model a fixed relative growth rate (per period) or a fixed percentage change (per period). The period can be any fixed amount of time, e.g., year, day, hour, etc.</t>
  </si>
  <si>
    <t>Population</t>
  </si>
  <si>
    <t>Percentage
Change</t>
  </si>
  <si>
    <t>Is there fixed growth (change) per period, or fixed relative growth (percentage change) per period?</t>
  </si>
  <si>
    <t>You deposite a number of rallods in a bank. The statements for the first 12 periods, in this case quarters, is shown. Decide if there is a fixed change per period, or a fixed percentage change per period. Decide whether a linear or exponential model should be used then write down the model and use it to predict the future value of the account after 9 years.</t>
  </si>
  <si>
    <t>A population of rallods is observed for 12 consecutive periods, in this case semi-anually. Based on the data given decide if there is a fixed change per period, or a fixed percentage change per period. Decide whether a linear or exponential model should be used then write down the model and use it to predict the population after 12 years.</t>
  </si>
  <si>
    <t>Legend</t>
  </si>
  <si>
    <t>If a cell is shaded</t>
  </si>
  <si>
    <t>You should</t>
  </si>
  <si>
    <t>Blue</t>
  </si>
  <si>
    <t>Enter a text response</t>
  </si>
  <si>
    <t>Green</t>
  </si>
  <si>
    <t>Enter a number</t>
  </si>
  <si>
    <t>Gold</t>
  </si>
  <si>
    <t>Enter an Excel formula</t>
  </si>
  <si>
    <t>Any other color</t>
  </si>
  <si>
    <t>Make no changes</t>
  </si>
  <si>
    <t>change/relative change</t>
  </si>
  <si>
    <t>What is the fixed value?</t>
  </si>
  <si>
    <t>Value in rallods</t>
  </si>
  <si>
    <t>What will the value be at 9 years?</t>
  </si>
  <si>
    <t>What model should be used to predict the population? Give P(t) = population at the end of t periods.</t>
  </si>
  <si>
    <t>How many periods are in 12 years?</t>
  </si>
  <si>
    <t>What will the populaton be at 12 years?</t>
  </si>
  <si>
    <t>How many periods are in 9 years?</t>
  </si>
  <si>
    <t>How many periods per year?</t>
  </si>
  <si>
    <t>Period (quater)</t>
  </si>
  <si>
    <t>Period (half year)</t>
  </si>
  <si>
    <t>Enter your name in D1 on the first tab.</t>
  </si>
  <si>
    <t>Video explaining this.
 Taken from office hours.</t>
  </si>
  <si>
    <t>Percent Change = Relative Change = Relative Growth Rate</t>
  </si>
  <si>
    <t>Ignore the Halo preview you must download and open the file in Excel to correctly see the contents.</t>
  </si>
  <si>
    <t>linear</t>
  </si>
  <si>
    <t>exponential</t>
  </si>
  <si>
    <t>fixed change</t>
  </si>
  <si>
    <t>relative/percentage change</t>
  </si>
  <si>
    <t>linear or exponential:</t>
  </si>
  <si>
    <r>
      <t xml:space="preserve">The model is a </t>
    </r>
    <r>
      <rPr>
        <b/>
        <i/>
        <sz val="11"/>
        <color theme="1"/>
        <rFont val="Calibri"/>
        <family val="2"/>
        <scheme val="minor"/>
      </rPr>
      <t>linear mode</t>
    </r>
    <r>
      <rPr>
        <b/>
        <sz val="11"/>
        <color theme="1"/>
        <rFont val="Calibri"/>
        <family val="2"/>
        <scheme val="minor"/>
      </rPr>
      <t>l Q(t) = Q₀ + r∙t</t>
    </r>
    <r>
      <rPr>
        <sz val="11"/>
        <color theme="1"/>
        <rFont val="Calibri"/>
        <family val="2"/>
        <scheme val="minor"/>
      </rPr>
      <t>, where Q₀ is the initial quantity and r = change per period. This is a straight line with y-intercept = Q₀ and slope = r.</t>
    </r>
  </si>
  <si>
    <r>
      <t xml:space="preserve">This is an </t>
    </r>
    <r>
      <rPr>
        <b/>
        <i/>
        <sz val="11"/>
        <color theme="1"/>
        <rFont val="Calibri"/>
        <family val="2"/>
        <scheme val="minor"/>
      </rPr>
      <t>exponential mode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Q(t) = Q₀∙b</t>
    </r>
    <r>
      <rPr>
        <b/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where Q₀ = the initial value (y-intercept) and </t>
    </r>
    <r>
      <rPr>
        <b/>
        <sz val="11"/>
        <color theme="1"/>
        <rFont val="Calibri"/>
        <family val="2"/>
        <scheme val="minor"/>
      </rPr>
      <t>b = 1 + r</t>
    </r>
    <r>
      <rPr>
        <sz val="11"/>
        <color theme="1"/>
        <rFont val="Calibri"/>
        <family val="2"/>
        <scheme val="minor"/>
      </rPr>
      <t>, where r = the relative growth rate (per period)</t>
    </r>
  </si>
  <si>
    <t>Name (at least 5 letters) ⇒</t>
  </si>
  <si>
    <t>Names</t>
  </si>
  <si>
    <t>Reset</t>
  </si>
  <si>
    <t>Your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</si>
</sst>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11"/>
      <color theme="1"/>
      <name val="Comic Sans MS"/>
      <family val="4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0"/>
      <name val="Bradley Hand ITC"/>
      <family val="4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/>
    <xf numFmtId="2" fontId="0" fillId="0" borderId="3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5" xfId="0" applyBorder="1"/>
    <xf numFmtId="0" fontId="0" fillId="4" borderId="18" xfId="0" applyFill="1" applyBorder="1" applyAlignment="1" applyProtection="1">
      <alignment horizontal="center" vertical="center" wrapText="1"/>
      <protection locked="0"/>
    </xf>
    <xf numFmtId="0" fontId="0" fillId="4" borderId="19" xfId="0" applyFill="1" applyBorder="1" applyAlignment="1" applyProtection="1">
      <alignment horizontal="center" vertical="center" wrapText="1"/>
      <protection locked="0"/>
    </xf>
    <xf numFmtId="0" fontId="0" fillId="5" borderId="18" xfId="0" applyFill="1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0" fillId="6" borderId="18" xfId="0" applyFill="1" applyBorder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vertical="center" wrapText="1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/>
    </xf>
    <xf numFmtId="0" fontId="0" fillId="3" borderId="14" xfId="0" applyFill="1" applyBorder="1" applyAlignment="1">
      <alignment horizontal="right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7" borderId="18" xfId="0" applyFill="1" applyBorder="1" applyAlignment="1" applyProtection="1">
      <alignment horizontal="center" vertical="center" wrapText="1"/>
      <protection locked="0"/>
    </xf>
    <xf numFmtId="0" fontId="0" fillId="7" borderId="28" xfId="0" applyFill="1" applyBorder="1" applyProtection="1">
      <protection locked="0"/>
    </xf>
    <xf numFmtId="1" fontId="0" fillId="7" borderId="29" xfId="0" applyNumberFormat="1" applyFill="1" applyBorder="1" applyProtection="1">
      <protection locked="0"/>
    </xf>
    <xf numFmtId="0" fontId="0" fillId="7" borderId="30" xfId="0" applyFill="1" applyBorder="1" applyProtection="1">
      <protection locked="0"/>
    </xf>
    <xf numFmtId="1" fontId="0" fillId="7" borderId="31" xfId="0" applyNumberFormat="1" applyFill="1" applyBorder="1" applyProtection="1">
      <protection locked="0"/>
    </xf>
    <xf numFmtId="0" fontId="0" fillId="7" borderId="32" xfId="0" applyFill="1" applyBorder="1" applyProtection="1">
      <protection locked="0"/>
    </xf>
    <xf numFmtId="1" fontId="0" fillId="7" borderId="33" xfId="0" applyNumberFormat="1" applyFill="1" applyBorder="1" applyProtection="1">
      <protection locked="0"/>
    </xf>
    <xf numFmtId="0" fontId="0" fillId="5" borderId="1" xfId="0" applyFill="1" applyBorder="1" applyAlignment="1" applyProtection="1">
      <alignment vertical="center"/>
      <protection locked="0"/>
    </xf>
    <xf numFmtId="0" fontId="0" fillId="7" borderId="1" xfId="0" applyFill="1" applyBorder="1" applyProtection="1">
      <protection locked="0"/>
    </xf>
    <xf numFmtId="0" fontId="0" fillId="5" borderId="1" xfId="0" applyFill="1" applyBorder="1" applyProtection="1">
      <protection locked="0"/>
    </xf>
    <xf numFmtId="0" fontId="0" fillId="6" borderId="1" xfId="0" applyFill="1" applyBorder="1" applyProtection="1">
      <protection locked="0"/>
    </xf>
    <xf numFmtId="0" fontId="0" fillId="0" borderId="0" xfId="0" applyAlignment="1" applyProtection="1">
      <alignment vertical="center"/>
      <protection hidden="1"/>
    </xf>
    <xf numFmtId="1" fontId="0" fillId="0" borderId="0" xfId="0" applyNumberFormat="1" applyProtection="1">
      <protection hidden="1"/>
    </xf>
    <xf numFmtId="1" fontId="0" fillId="7" borderId="22" xfId="0" applyNumberFormat="1" applyFill="1" applyBorder="1" applyProtection="1">
      <protection locked="0"/>
    </xf>
    <xf numFmtId="0" fontId="0" fillId="7" borderId="23" xfId="0" applyFill="1" applyBorder="1" applyProtection="1">
      <protection locked="0"/>
    </xf>
    <xf numFmtId="1" fontId="0" fillId="7" borderId="24" xfId="0" applyNumberFormat="1" applyFill="1" applyBorder="1" applyProtection="1">
      <protection locked="0"/>
    </xf>
    <xf numFmtId="0" fontId="0" fillId="7" borderId="25" xfId="0" applyFill="1" applyBorder="1" applyProtection="1">
      <protection locked="0"/>
    </xf>
    <xf numFmtId="1" fontId="0" fillId="7" borderId="26" xfId="0" applyNumberFormat="1" applyFill="1" applyBorder="1" applyProtection="1">
      <protection locked="0"/>
    </xf>
    <xf numFmtId="0" fontId="0" fillId="7" borderId="27" xfId="0" applyFill="1" applyBorder="1" applyProtection="1">
      <protection locked="0"/>
    </xf>
    <xf numFmtId="0" fontId="0" fillId="3" borderId="34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 wrapText="1"/>
    </xf>
    <xf numFmtId="0" fontId="7" fillId="0" borderId="0" xfId="0" applyFont="1"/>
    <xf numFmtId="2" fontId="2" fillId="0" borderId="3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2" applyAlignment="1">
      <alignment horizontal="left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3" borderId="12" xfId="0" applyFont="1" applyFill="1" applyBorder="1" applyAlignment="1">
      <alignment horizontal="right"/>
    </xf>
    <xf numFmtId="0" fontId="2" fillId="3" borderId="13" xfId="0" applyFont="1" applyFill="1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 wrapText="1" indent="1"/>
    </xf>
    <xf numFmtId="0" fontId="0" fillId="3" borderId="5" xfId="0" applyFill="1" applyBorder="1" applyAlignment="1">
      <alignment horizontal="left" vertical="center" wrapText="1" indent="1"/>
    </xf>
    <xf numFmtId="0" fontId="0" fillId="3" borderId="6" xfId="0" applyFill="1" applyBorder="1" applyAlignment="1">
      <alignment horizontal="left" vertical="center" wrapText="1" indent="1"/>
    </xf>
    <xf numFmtId="0" fontId="0" fillId="3" borderId="7" xfId="0" applyFill="1" applyBorder="1" applyAlignment="1">
      <alignment horizontal="left" vertical="center" wrapText="1" indent="1"/>
    </xf>
    <xf numFmtId="0" fontId="0" fillId="3" borderId="0" xfId="0" applyFill="1" applyAlignment="1">
      <alignment horizontal="left" vertical="center" wrapText="1" indent="1"/>
    </xf>
    <xf numFmtId="0" fontId="0" fillId="3" borderId="8" xfId="0" applyFill="1" applyBorder="1" applyAlignment="1">
      <alignment horizontal="left" vertical="center" wrapText="1" indent="1"/>
    </xf>
    <xf numFmtId="0" fontId="0" fillId="3" borderId="9" xfId="0" applyFill="1" applyBorder="1" applyAlignment="1">
      <alignment horizontal="left" vertical="center" wrapText="1" indent="1"/>
    </xf>
    <xf numFmtId="0" fontId="0" fillId="3" borderId="10" xfId="0" applyFill="1" applyBorder="1" applyAlignment="1">
      <alignment horizontal="left" vertical="center" wrapText="1" indent="1"/>
    </xf>
    <xf numFmtId="0" fontId="0" fillId="3" borderId="11" xfId="0" applyFill="1" applyBorder="1" applyAlignment="1">
      <alignment horizontal="left" vertical="center" wrapText="1" inden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0" fillId="3" borderId="6" xfId="0" applyFill="1" applyBorder="1" applyAlignment="1">
      <alignment horizontal="left" wrapText="1"/>
    </xf>
    <xf numFmtId="0" fontId="0" fillId="3" borderId="7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0" fillId="3" borderId="10" xfId="0" applyFill="1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3" borderId="17" xfId="0" applyFill="1" applyBorder="1" applyAlignment="1" applyProtection="1">
      <alignment horizontal="center" vertical="center" wrapText="1"/>
      <protection locked="0"/>
    </xf>
    <xf numFmtId="0" fontId="0" fillId="3" borderId="4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37" xfId="0" applyFill="1" applyBorder="1" applyAlignment="1" applyProtection="1">
      <alignment horizontal="center" vertical="center" wrapText="1"/>
      <protection locked="0"/>
    </xf>
    <xf numFmtId="0" fontId="0" fillId="3" borderId="38" xfId="0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2">
    <dxf>
      <font>
        <color theme="6" tint="-0.24994659260841701"/>
      </font>
      <fill>
        <patternFill>
          <bgColor theme="6" tint="0.39994506668294322"/>
        </patternFill>
      </fill>
    </dxf>
    <dxf>
      <font>
        <strike val="0"/>
        <color theme="6" tint="-0.24994659260841701"/>
      </font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A9AA2B72-746E-42F9-8FDC-AEE6B95769C6}"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  <cx:tickLabels/>
        <cx:numFmt formatCode="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youtu.be/HoCMAoenzDw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youtu.be/HoCMAoenzDw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238126</xdr:colOff>
      <xdr:row>2</xdr:row>
      <xdr:rowOff>133350</xdr:rowOff>
    </xdr:from>
    <xdr:to>
      <xdr:col>15</xdr:col>
      <xdr:colOff>85726</xdr:colOff>
      <xdr:row>4</xdr:row>
      <xdr:rowOff>142875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BF7BCF-4198-42C7-AB9F-8C82C174B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2576" y="333375"/>
          <a:ext cx="457200" cy="457200"/>
        </a:xfrm>
        <a:prstGeom prst="rect">
          <a:avLst/>
        </a:prstGeom>
      </xdr:spPr>
    </xdr:pic>
    <xdr:clientData/>
  </xdr:twoCellAnchor>
  <xdr:twoCellAnchor>
    <xdr:from>
      <xdr:col>3</xdr:col>
      <xdr:colOff>266700</xdr:colOff>
      <xdr:row>17</xdr:row>
      <xdr:rowOff>190499</xdr:rowOff>
    </xdr:from>
    <xdr:to>
      <xdr:col>7</xdr:col>
      <xdr:colOff>171450</xdr:colOff>
      <xdr:row>19</xdr:row>
      <xdr:rowOff>38099</xdr:rowOff>
    </xdr:to>
    <xdr:sp macro="" textlink="">
      <xdr:nvSpPr>
        <xdr:cNvPr id="3" name="Arrow: Curved Up 2">
          <a:extLst>
            <a:ext uri="{FF2B5EF4-FFF2-40B4-BE49-F238E27FC236}">
              <a16:creationId xmlns:a16="http://schemas.microsoft.com/office/drawing/2014/main" id="{09084DA4-04AF-2397-DDC2-FE7196D7F310}"/>
            </a:ext>
          </a:extLst>
        </xdr:cNvPr>
        <xdr:cNvSpPr/>
      </xdr:nvSpPr>
      <xdr:spPr>
        <a:xfrm flipV="1">
          <a:off x="2095500" y="3629024"/>
          <a:ext cx="2733675" cy="2286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247650</xdr:colOff>
      <xdr:row>20</xdr:row>
      <xdr:rowOff>9525</xdr:rowOff>
    </xdr:from>
    <xdr:to>
      <xdr:col>6</xdr:col>
      <xdr:colOff>514350</xdr:colOff>
      <xdr:row>21</xdr:row>
      <xdr:rowOff>180975</xdr:rowOff>
    </xdr:to>
    <xdr:sp macro="" textlink="">
      <xdr:nvSpPr>
        <xdr:cNvPr id="4" name="Arrow: Curved Up 3">
          <a:extLst>
            <a:ext uri="{FF2B5EF4-FFF2-40B4-BE49-F238E27FC236}">
              <a16:creationId xmlns:a16="http://schemas.microsoft.com/office/drawing/2014/main" id="{BF44FA48-A1A1-4EFB-B19F-56AFB56375B6}"/>
            </a:ext>
          </a:extLst>
        </xdr:cNvPr>
        <xdr:cNvSpPr/>
      </xdr:nvSpPr>
      <xdr:spPr>
        <a:xfrm>
          <a:off x="247650" y="4029075"/>
          <a:ext cx="4314825" cy="36195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238126</xdr:colOff>
      <xdr:row>1</xdr:row>
      <xdr:rowOff>133350</xdr:rowOff>
    </xdr:from>
    <xdr:to>
      <xdr:col>15</xdr:col>
      <xdr:colOff>85726</xdr:colOff>
      <xdr:row>4</xdr:row>
      <xdr:rowOff>9525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F25413-3557-4D1E-BB59-DFC2202B2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2576" y="333375"/>
          <a:ext cx="457200" cy="457200"/>
        </a:xfrm>
        <a:prstGeom prst="rect">
          <a:avLst/>
        </a:prstGeom>
      </xdr:spPr>
    </xdr:pic>
    <xdr:clientData/>
  </xdr:twoCellAnchor>
  <xdr:twoCellAnchor>
    <xdr:from>
      <xdr:col>4</xdr:col>
      <xdr:colOff>514350</xdr:colOff>
      <xdr:row>17</xdr:row>
      <xdr:rowOff>171449</xdr:rowOff>
    </xdr:from>
    <xdr:to>
      <xdr:col>10</xdr:col>
      <xdr:colOff>590551</xdr:colOff>
      <xdr:row>19</xdr:row>
      <xdr:rowOff>9525</xdr:rowOff>
    </xdr:to>
    <xdr:sp macro="" textlink="">
      <xdr:nvSpPr>
        <xdr:cNvPr id="2" name="Arrow: Curved Down 1">
          <a:extLst>
            <a:ext uri="{FF2B5EF4-FFF2-40B4-BE49-F238E27FC236}">
              <a16:creationId xmlns:a16="http://schemas.microsoft.com/office/drawing/2014/main" id="{EE695F8A-B5D5-CA60-A3D9-01DA307BCD66}"/>
            </a:ext>
          </a:extLst>
        </xdr:cNvPr>
        <xdr:cNvSpPr/>
      </xdr:nvSpPr>
      <xdr:spPr>
        <a:xfrm>
          <a:off x="2809875" y="3448049"/>
          <a:ext cx="4162426" cy="219076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87923</xdr:colOff>
      <xdr:row>17</xdr:row>
      <xdr:rowOff>20515</xdr:rowOff>
    </xdr:from>
    <xdr:to>
      <xdr:col>13</xdr:col>
      <xdr:colOff>392723</xdr:colOff>
      <xdr:row>32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0B1E0D4-7447-4D40-B6B6-BFC18F7EF7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3173" y="3259015"/>
              <a:ext cx="4572000" cy="28750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youtu.be/HoCMAoenzDw" TargetMode="External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youtu.be/HoCMAoenzDw" TargetMode="External"/><Relationship Id="rId1" Type="http://schemas.openxmlformats.org/officeDocument/2006/relationships/printerSettings" Target="../printerSettings/printerSettings3.bin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FEE2-CD01-4CA1-A488-F59DAFBFCB6B}">
  <dimension ref="A1:O20"/>
  <sheetViews>
    <sheetView tabSelected="1" workbookViewId="0">
      <selection activeCell="D1" sqref="D1"/>
    </sheetView>
  </sheetViews>
  <sheetFormatPr defaultRowHeight="15"/>
  <cols>
    <col min="4" max="4" width="17.42578125" customWidth="1"/>
    <col min="5" max="5" width="15" bestFit="1" customWidth="1"/>
    <col min="8" max="8" width="11.28515625" customWidth="1"/>
  </cols>
  <sheetData>
    <row r="1" spans="1:15" ht="21.75" thickBot="1">
      <c r="A1" s="74" t="s">
        <v>85</v>
      </c>
      <c r="B1" s="75"/>
      <c r="C1" s="75"/>
      <c r="D1" s="59" t="s">
        <v>88</v>
      </c>
      <c r="E1" s="79" t="s">
        <v>44</v>
      </c>
      <c r="F1" s="80"/>
      <c r="G1" s="80"/>
      <c r="H1" s="80"/>
      <c r="I1" s="80"/>
      <c r="J1" s="80"/>
      <c r="K1" s="81"/>
    </row>
    <row r="2" spans="1:15">
      <c r="E2" s="82" t="s">
        <v>45</v>
      </c>
      <c r="F2" s="83"/>
      <c r="G2" s="83"/>
      <c r="H2" s="83"/>
      <c r="I2" s="83"/>
      <c r="J2" s="83"/>
      <c r="K2" s="84"/>
    </row>
    <row r="3" spans="1:15">
      <c r="E3" s="85"/>
      <c r="F3" s="86"/>
      <c r="G3" s="86"/>
      <c r="H3" s="86"/>
      <c r="I3" s="86"/>
      <c r="J3" s="86"/>
      <c r="K3" s="87"/>
    </row>
    <row r="4" spans="1:15" ht="20.25" customHeight="1" thickBot="1">
      <c r="E4" s="88"/>
      <c r="F4" s="89"/>
      <c r="G4" s="89"/>
      <c r="H4" s="89"/>
      <c r="I4" s="89"/>
      <c r="J4" s="89"/>
      <c r="K4" s="90"/>
      <c r="M4" s="61" t="s">
        <v>75</v>
      </c>
      <c r="N4" s="61"/>
      <c r="O4" s="61"/>
    </row>
    <row r="5" spans="1:15">
      <c r="E5" s="82" t="s">
        <v>83</v>
      </c>
      <c r="F5" s="83"/>
      <c r="G5" s="83"/>
      <c r="H5" s="83"/>
      <c r="I5" s="83"/>
      <c r="J5" s="83"/>
      <c r="K5" s="84"/>
      <c r="M5" s="61"/>
      <c r="N5" s="61"/>
      <c r="O5" s="61"/>
    </row>
    <row r="6" spans="1:15" ht="21.75" customHeight="1" thickBot="1">
      <c r="E6" s="88"/>
      <c r="F6" s="89"/>
      <c r="G6" s="89"/>
      <c r="H6" s="89"/>
      <c r="I6" s="89"/>
      <c r="J6" s="89"/>
      <c r="K6" s="90"/>
    </row>
    <row r="7" spans="1:15" ht="15.75" thickBot="1">
      <c r="A7" s="32" t="s">
        <v>0</v>
      </c>
      <c r="B7" s="68" t="s">
        <v>26</v>
      </c>
      <c r="C7" s="70"/>
      <c r="D7" s="32" t="s">
        <v>1</v>
      </c>
      <c r="E7" s="32" t="s">
        <v>2</v>
      </c>
      <c r="F7" s="68" t="s">
        <v>38</v>
      </c>
      <c r="G7" s="69"/>
      <c r="H7" s="70"/>
      <c r="I7" s="68" t="s">
        <v>43</v>
      </c>
      <c r="J7" s="69"/>
      <c r="K7" s="69"/>
      <c r="L7" s="70"/>
    </row>
    <row r="8" spans="1:15">
      <c r="A8" s="4">
        <v>0</v>
      </c>
      <c r="B8" s="8" t="s">
        <v>27</v>
      </c>
      <c r="C8" s="9">
        <f ca="1">MOD(Sheet2!B12,1000)+1000</f>
        <v>1331</v>
      </c>
      <c r="D8" s="4"/>
      <c r="E8" s="4"/>
      <c r="F8" s="76"/>
      <c r="G8" s="77"/>
      <c r="H8" s="78"/>
      <c r="I8" s="62"/>
      <c r="J8" s="63"/>
      <c r="K8" s="63"/>
      <c r="L8" s="64"/>
    </row>
    <row r="9" spans="1:15">
      <c r="A9" s="4">
        <v>1</v>
      </c>
      <c r="B9" s="8" t="s">
        <v>28</v>
      </c>
      <c r="C9" s="10">
        <f ca="1">C8+ROUND(SIGN(Sheet2!B$14-Sheet2!B$15)*100*Sheet2!D$15,2)</f>
        <v>1264.55</v>
      </c>
      <c r="D9" s="7">
        <f t="shared" ref="D9:D18" ca="1" si="0">C9-C8</f>
        <v>-66.450000000000045</v>
      </c>
      <c r="E9" s="5">
        <f t="shared" ref="E9:E18" ca="1" si="1">C9/C8-1</f>
        <v>-4.9924868519909849E-2</v>
      </c>
      <c r="F9" s="62" t="str">
        <f ca="1">B9&amp;" = "&amp;B8&amp;" + "&amp;ROUND(D9,2)</f>
        <v>Q₁ = Q₀ + -66.45</v>
      </c>
      <c r="G9" s="63"/>
      <c r="H9" s="64"/>
      <c r="I9" s="62" t="str">
        <f ca="1">B9&amp;" = "&amp;B8&amp;" + "&amp;B8&amp;"∙("&amp;ROUND(E9*100,2)&amp;"%) = "&amp;B8&amp;"∙(1 + "&amp;ROUND(E9*100,2)&amp;"%)"</f>
        <v>Q₁ = Q₀ + Q₀∙(-4.99%) = Q₀∙(1 + -4.99%)</v>
      </c>
      <c r="J9" s="63"/>
      <c r="K9" s="63"/>
      <c r="L9" s="64"/>
      <c r="M9" s="3"/>
    </row>
    <row r="10" spans="1:15">
      <c r="A10" s="4">
        <v>2</v>
      </c>
      <c r="B10" s="8" t="s">
        <v>29</v>
      </c>
      <c r="C10" s="10">
        <f ca="1">C9+ROUND(SIGN(Sheet2!B$14-Sheet2!B$15)*100*Sheet2!D$15,2)</f>
        <v>1198.0999999999999</v>
      </c>
      <c r="D10" s="7">
        <f t="shared" ca="1" si="0"/>
        <v>-66.450000000000045</v>
      </c>
      <c r="E10" s="5">
        <f t="shared" ca="1" si="1"/>
        <v>-5.2548337353208741E-2</v>
      </c>
      <c r="F10" s="62" t="str">
        <f ca="1">B10&amp;" = "&amp;B9&amp;" + "&amp;ROUND(D10,2)&amp;" = "&amp;B$8&amp;" + "&amp;A10&amp;"∙("&amp;ROUND(D10,2)&amp;")"</f>
        <v>Q₂ = Q₁ + -66.45 = Q₀ + 2∙(-66.45)</v>
      </c>
      <c r="G10" s="63"/>
      <c r="H10" s="64"/>
      <c r="I10" s="62" t="str">
        <f ca="1">B10&amp;" = "&amp;B9&amp;" + "&amp;B9&amp;"∙("&amp;ROUND(E10*100,2)&amp;"%) = "&amp;B9&amp;"∙(1 + "&amp;ROUND(E10*100,2)&amp;"%)"</f>
        <v>Q₂ = Q₁ + Q₁∙(-5.25%) = Q₁∙(1 + -5.25%)</v>
      </c>
      <c r="J10" s="63"/>
      <c r="K10" s="63"/>
      <c r="L10" s="64"/>
    </row>
    <row r="11" spans="1:15">
      <c r="A11" s="4">
        <v>3</v>
      </c>
      <c r="B11" s="8" t="s">
        <v>30</v>
      </c>
      <c r="C11" s="10">
        <f ca="1">C10+ROUND(SIGN(Sheet2!B$14-Sheet2!B$15)*100*Sheet2!D$15,2)</f>
        <v>1131.6499999999999</v>
      </c>
      <c r="D11" s="7">
        <f t="shared" ca="1" si="0"/>
        <v>-66.450000000000045</v>
      </c>
      <c r="E11" s="5">
        <f t="shared" ca="1" si="1"/>
        <v>-5.5462816125532166E-2</v>
      </c>
      <c r="F11" s="62" t="str">
        <f ca="1">B11&amp;" = "&amp;B10&amp;" + "&amp;ROUND(D11,2)&amp;" = "&amp;B$8&amp;" + "&amp;A11&amp;"∙("&amp;ROUND(D11,2)&amp;")"</f>
        <v>Q₃ = Q₂ + -66.45 = Q₀ + 3∙(-66.45)</v>
      </c>
      <c r="G11" s="63"/>
      <c r="H11" s="64"/>
      <c r="I11" s="62" t="str">
        <f t="shared" ref="I11:I17" ca="1" si="2">B11&amp;" = "&amp;B10&amp;" + "&amp;B10&amp;"∙("&amp;ROUND(E11*100,2)&amp;"%) = "&amp;B10&amp;"∙(1 + "&amp;ROUND(E11*100,2)&amp;"%)"</f>
        <v>Q₃ = Q₂ + Q₂∙(-5.55%) = Q₂∙(1 + -5.55%)</v>
      </c>
      <c r="J11" s="63"/>
      <c r="K11" s="63"/>
      <c r="L11" s="64"/>
    </row>
    <row r="12" spans="1:15">
      <c r="A12" s="4">
        <v>4</v>
      </c>
      <c r="B12" s="8" t="s">
        <v>31</v>
      </c>
      <c r="C12" s="10">
        <f ca="1">C11+ROUND(SIGN(Sheet2!B$14-Sheet2!B$15)*100*Sheet2!D$15,2)</f>
        <v>1065.1999999999998</v>
      </c>
      <c r="D12" s="7">
        <f t="shared" ca="1" si="0"/>
        <v>-66.450000000000045</v>
      </c>
      <c r="E12" s="5">
        <f t="shared" ca="1" si="1"/>
        <v>-5.8719568771263275E-2</v>
      </c>
      <c r="F12" s="62" t="str">
        <f t="shared" ref="F12:F18" ca="1" si="3">B12&amp;" = "&amp;B11&amp;" + "&amp;ROUND(D12,2)&amp;" = "&amp;B$8&amp;" + "&amp;A12&amp;"∙("&amp;ROUND(D12,2)&amp;")"</f>
        <v>Q₄ = Q₃ + -66.45 = Q₀ + 4∙(-66.45)</v>
      </c>
      <c r="G12" s="63"/>
      <c r="H12" s="64"/>
      <c r="I12" s="62" t="str">
        <f t="shared" ca="1" si="2"/>
        <v>Q₄ = Q₃ + Q₃∙(-5.87%) = Q₃∙(1 + -5.87%)</v>
      </c>
      <c r="J12" s="63"/>
      <c r="K12" s="63"/>
      <c r="L12" s="64"/>
    </row>
    <row r="13" spans="1:15">
      <c r="A13" s="4">
        <v>5</v>
      </c>
      <c r="B13" s="8" t="s">
        <v>32</v>
      </c>
      <c r="C13" s="10">
        <f ca="1">C12+ROUND(SIGN(Sheet2!B$14-Sheet2!B$15)*100*Sheet2!D$15,2)</f>
        <v>998.74999999999977</v>
      </c>
      <c r="D13" s="7">
        <f t="shared" ca="1" si="0"/>
        <v>-66.450000000000045</v>
      </c>
      <c r="E13" s="5">
        <f t="shared" ca="1" si="1"/>
        <v>-6.238265114532493E-2</v>
      </c>
      <c r="F13" s="62" t="str">
        <f t="shared" ca="1" si="3"/>
        <v>Q₅ = Q₄ + -66.45 = Q₀ + 5∙(-66.45)</v>
      </c>
      <c r="G13" s="63"/>
      <c r="H13" s="64"/>
      <c r="I13" s="62" t="str">
        <f t="shared" ca="1" si="2"/>
        <v>Q₅ = Q₄ + Q₄∙(-6.24%) = Q₄∙(1 + -6.24%)</v>
      </c>
      <c r="J13" s="63"/>
      <c r="K13" s="63"/>
      <c r="L13" s="64"/>
    </row>
    <row r="14" spans="1:15" ht="15.6" customHeight="1">
      <c r="A14" s="4">
        <v>6</v>
      </c>
      <c r="B14" s="8" t="s">
        <v>33</v>
      </c>
      <c r="C14" s="10">
        <f ca="1">C13+ROUND(SIGN(Sheet2!B$14-Sheet2!B$15)*100*Sheet2!D$15,2)</f>
        <v>932.29999999999973</v>
      </c>
      <c r="D14" s="7">
        <f t="shared" ca="1" si="0"/>
        <v>-66.450000000000045</v>
      </c>
      <c r="E14" s="5">
        <f t="shared" ca="1" si="1"/>
        <v>-6.6533166458072612E-2</v>
      </c>
      <c r="F14" s="62" t="str">
        <f t="shared" ca="1" si="3"/>
        <v>Q₆ = Q₅ + -66.45 = Q₀ + 6∙(-66.45)</v>
      </c>
      <c r="G14" s="63"/>
      <c r="H14" s="64"/>
      <c r="I14" s="62" t="str">
        <f t="shared" ca="1" si="2"/>
        <v>Q₆ = Q₅ + Q₅∙(-6.65%) = Q₅∙(1 + -6.65%)</v>
      </c>
      <c r="J14" s="63"/>
      <c r="K14" s="63"/>
      <c r="L14" s="64"/>
    </row>
    <row r="15" spans="1:15" ht="15.6" customHeight="1">
      <c r="A15" s="4">
        <v>7</v>
      </c>
      <c r="B15" s="8" t="s">
        <v>34</v>
      </c>
      <c r="C15" s="10">
        <f ca="1">C14+ROUND(SIGN(Sheet2!B$14-Sheet2!B$15)*100*Sheet2!D$15,2)</f>
        <v>865.84999999999968</v>
      </c>
      <c r="D15" s="7">
        <f t="shared" ca="1" si="0"/>
        <v>-66.450000000000045</v>
      </c>
      <c r="E15" s="5">
        <f t="shared" ca="1" si="1"/>
        <v>-7.1275340555615241E-2</v>
      </c>
      <c r="F15" s="62" t="str">
        <f t="shared" ca="1" si="3"/>
        <v>Q₇ = Q₆ + -66.45 = Q₀ + 7∙(-66.45)</v>
      </c>
      <c r="G15" s="63"/>
      <c r="H15" s="64"/>
      <c r="I15" s="62" t="str">
        <f t="shared" ca="1" si="2"/>
        <v>Q₇ = Q₆ + Q₆∙(-7.13%) = Q₆∙(1 + -7.13%)</v>
      </c>
      <c r="J15" s="63"/>
      <c r="K15" s="63"/>
      <c r="L15" s="64"/>
    </row>
    <row r="16" spans="1:15" ht="15.6" customHeight="1">
      <c r="A16" s="4">
        <v>8</v>
      </c>
      <c r="B16" s="8" t="s">
        <v>35</v>
      </c>
      <c r="C16" s="10">
        <f ca="1">C15+ROUND(SIGN(Sheet2!B$14-Sheet2!B$15)*100*Sheet2!D$15,2)</f>
        <v>799.39999999999964</v>
      </c>
      <c r="D16" s="7">
        <f t="shared" ca="1" si="0"/>
        <v>-66.450000000000045</v>
      </c>
      <c r="E16" s="5">
        <f t="shared" ca="1" si="1"/>
        <v>-7.6745394698850888E-2</v>
      </c>
      <c r="F16" s="62" t="str">
        <f t="shared" ca="1" si="3"/>
        <v>Q₈ = Q₇ + -66.45 = Q₀ + 8∙(-66.45)</v>
      </c>
      <c r="G16" s="63"/>
      <c r="H16" s="64"/>
      <c r="I16" s="62" t="str">
        <f t="shared" ca="1" si="2"/>
        <v>Q₈ = Q₇ + Q₇∙(-7.67%) = Q₇∙(1 + -7.67%)</v>
      </c>
      <c r="J16" s="63"/>
      <c r="K16" s="63"/>
      <c r="L16" s="64"/>
    </row>
    <row r="17" spans="1:12" ht="15.6" customHeight="1">
      <c r="A17" s="4">
        <v>9</v>
      </c>
      <c r="B17" s="8" t="s">
        <v>36</v>
      </c>
      <c r="C17" s="10">
        <f ca="1">C16+ROUND(SIGN(Sheet2!B$14-Sheet2!B$15)*100*Sheet2!D$15,2)</f>
        <v>732.94999999999959</v>
      </c>
      <c r="D17" s="7">
        <f t="shared" ca="1" si="0"/>
        <v>-66.450000000000045</v>
      </c>
      <c r="E17" s="5">
        <f t="shared" ca="1" si="1"/>
        <v>-8.3124843632724654E-2</v>
      </c>
      <c r="F17" s="62" t="str">
        <f t="shared" ca="1" si="3"/>
        <v>Q₉ = Q₈ + -66.45 = Q₀ + 9∙(-66.45)</v>
      </c>
      <c r="G17" s="63"/>
      <c r="H17" s="64"/>
      <c r="I17" s="62" t="str">
        <f t="shared" ca="1" si="2"/>
        <v>Q₉ = Q₈ + Q₈∙(-8.31%) = Q₈∙(1 + -8.31%)</v>
      </c>
      <c r="J17" s="63"/>
      <c r="K17" s="63"/>
      <c r="L17" s="64"/>
    </row>
    <row r="18" spans="1:12" ht="15.6" customHeight="1">
      <c r="A18" s="4">
        <v>10</v>
      </c>
      <c r="B18" s="8" t="s">
        <v>37</v>
      </c>
      <c r="C18" s="10">
        <f ca="1">C17+ROUND(SIGN(Sheet2!B$14-Sheet2!B$15)*100*Sheet2!D$15,2)</f>
        <v>666.49999999999955</v>
      </c>
      <c r="D18" s="7">
        <f t="shared" ca="1" si="0"/>
        <v>-66.450000000000045</v>
      </c>
      <c r="E18" s="5">
        <f t="shared" ca="1" si="1"/>
        <v>-9.0661027355208534E-2</v>
      </c>
      <c r="F18" s="62" t="str">
        <f t="shared" ca="1" si="3"/>
        <v>Q₁₀ = Q₉ + -66.45 = Q₀ + 10∙(-66.45)</v>
      </c>
      <c r="G18" s="63"/>
      <c r="H18" s="64"/>
      <c r="I18" s="62" t="str">
        <f ca="1">B18&amp;" = "&amp;B17&amp;" + "&amp;B17&amp;"∙("&amp;ROUND(E18*100,2)&amp;"%) = "&amp;B17&amp;"∙(1 + "&amp;ROUND(E18*100,2)&amp;"%)"</f>
        <v>Q₁₀ = Q₉ + Q₉∙(-9.07%) = Q₉∙(1 + -9.07%)</v>
      </c>
      <c r="J18" s="63"/>
      <c r="K18" s="63"/>
      <c r="L18" s="64"/>
    </row>
    <row r="19" spans="1:12">
      <c r="A19" s="4" t="s">
        <v>42</v>
      </c>
      <c r="B19" s="8" t="s">
        <v>42</v>
      </c>
      <c r="C19" s="9" t="s">
        <v>42</v>
      </c>
      <c r="D19" s="4" t="s">
        <v>42</v>
      </c>
      <c r="E19" s="4" t="s">
        <v>42</v>
      </c>
      <c r="F19" s="62" t="str">
        <f>A19</f>
        <v>⋮</v>
      </c>
      <c r="G19" s="63"/>
      <c r="H19" s="64"/>
      <c r="I19" s="62" t="s">
        <v>42</v>
      </c>
      <c r="J19" s="63"/>
      <c r="K19" s="63"/>
      <c r="L19" s="64"/>
    </row>
    <row r="20" spans="1:12" ht="15.75" thickBot="1">
      <c r="A20" s="6" t="s">
        <v>39</v>
      </c>
      <c r="B20" s="11" t="s">
        <v>40</v>
      </c>
      <c r="C20" s="12"/>
      <c r="D20" s="57">
        <f ca="1">D18</f>
        <v>-66.450000000000045</v>
      </c>
      <c r="E20" s="6" t="s">
        <v>41</v>
      </c>
      <c r="F20" s="65" t="str">
        <f ca="1">B20&amp;" = "&amp;B$8&amp;" + "&amp;A20&amp;"∙("&amp;ROUND(D20,2)&amp;")"</f>
        <v>Qₙ = Q₀ + n∙(-66.45)</v>
      </c>
      <c r="G20" s="66"/>
      <c r="H20" s="67"/>
      <c r="I20" s="71" t="s">
        <v>41</v>
      </c>
      <c r="J20" s="72"/>
      <c r="K20" s="72"/>
      <c r="L20" s="73"/>
    </row>
  </sheetData>
  <sheetProtection formatCells="0" formatColumns="0"/>
  <customSheetViews>
    <customSheetView guid="{86163F03-5311-4FD3-9F34-A891F9AC9F16}">
      <selection activeCell="F23" sqref="F23"/>
      <pageMargins left="0.7" right="0.7" top="0.75" bottom="0.75" header="0.3" footer="0.3"/>
      <pageSetup orientation="portrait" r:id="rId1"/>
    </customSheetView>
  </customSheetViews>
  <mergeCells count="34">
    <mergeCell ref="A1:C1"/>
    <mergeCell ref="B7:C7"/>
    <mergeCell ref="F9:H9"/>
    <mergeCell ref="F10:H10"/>
    <mergeCell ref="F11:H11"/>
    <mergeCell ref="F8:H8"/>
    <mergeCell ref="F7:H7"/>
    <mergeCell ref="E1:K1"/>
    <mergeCell ref="E2:K4"/>
    <mergeCell ref="E5:K6"/>
    <mergeCell ref="F20:H20"/>
    <mergeCell ref="F19:H19"/>
    <mergeCell ref="I7:L7"/>
    <mergeCell ref="I9:L9"/>
    <mergeCell ref="I10:L10"/>
    <mergeCell ref="F13:H13"/>
    <mergeCell ref="F14:H14"/>
    <mergeCell ref="F15:H15"/>
    <mergeCell ref="F16:H16"/>
    <mergeCell ref="F17:H17"/>
    <mergeCell ref="F18:H18"/>
    <mergeCell ref="F12:H12"/>
    <mergeCell ref="I18:L18"/>
    <mergeCell ref="I19:L19"/>
    <mergeCell ref="I20:L20"/>
    <mergeCell ref="I8:L8"/>
    <mergeCell ref="M4:O5"/>
    <mergeCell ref="I16:L16"/>
    <mergeCell ref="I17:L17"/>
    <mergeCell ref="I11:L11"/>
    <mergeCell ref="I12:L12"/>
    <mergeCell ref="I13:L13"/>
    <mergeCell ref="I14:L14"/>
    <mergeCell ref="I15:L15"/>
  </mergeCells>
  <hyperlinks>
    <hyperlink ref="M4:O5" r:id="rId2" display="https://youtu.be/HoCMAoenzDw" xr:uid="{B7474ABE-EF49-4165-8D07-B721CC234856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E7CF-62D4-4C8A-9A68-B26F0F856CD5}">
  <dimension ref="A1:M21"/>
  <sheetViews>
    <sheetView workbookViewId="0">
      <selection activeCell="C2" sqref="C2"/>
    </sheetView>
  </sheetViews>
  <sheetFormatPr defaultRowHeight="15"/>
  <cols>
    <col min="1" max="1" width="9.140625" style="60"/>
  </cols>
  <sheetData>
    <row r="1" spans="1:13">
      <c r="A1" s="60" t="s">
        <v>86</v>
      </c>
      <c r="B1" t="s">
        <v>87</v>
      </c>
      <c r="C1" s="122">
        <v>1</v>
      </c>
      <c r="D1" t="str">
        <f>'Constant Change'!D1</f>
        <v>Your Name</v>
      </c>
      <c r="F1" s="63" t="str">
        <f ca="1">IF(M1="ACTIVE", "✓ Tracking Active", "⚠️ ERROR: Enable Iterative Calculations (File &gt; Options &gt; Formulas)")</f>
        <v>✓ Tracking Active</v>
      </c>
      <c r="G1" s="63"/>
      <c r="H1" s="63"/>
      <c r="I1" s="63"/>
      <c r="J1" s="63"/>
      <c r="K1" s="63"/>
      <c r="L1" s="63"/>
      <c r="M1" s="60" t="str">
        <f ca="1">IF(M1="ACTIVE", "ACTIVE", "ACTIVE")</f>
        <v>ACTIVE</v>
      </c>
    </row>
    <row r="2" spans="1:13">
      <c r="A2" s="60" t="str">
        <f t="shared" ref="A2:A19" ca="1" si="0">IF(D$1&lt;&gt;A3,A3,A2)</f>
        <v/>
      </c>
    </row>
    <row r="3" spans="1:13">
      <c r="A3" s="60" t="str">
        <f t="shared" ca="1" si="0"/>
        <v/>
      </c>
    </row>
    <row r="4" spans="1:13">
      <c r="A4" s="60" t="str">
        <f t="shared" ca="1" si="0"/>
        <v/>
      </c>
    </row>
    <row r="5" spans="1:13">
      <c r="A5" s="60" t="str">
        <f t="shared" ca="1" si="0"/>
        <v/>
      </c>
    </row>
    <row r="6" spans="1:13">
      <c r="A6" s="60" t="str">
        <f t="shared" ca="1" si="0"/>
        <v/>
      </c>
    </row>
    <row r="7" spans="1:13">
      <c r="A7" s="60" t="str">
        <f t="shared" ca="1" si="0"/>
        <v/>
      </c>
    </row>
    <row r="8" spans="1:13">
      <c r="A8" s="60" t="str">
        <f t="shared" ca="1" si="0"/>
        <v/>
      </c>
    </row>
    <row r="9" spans="1:13">
      <c r="A9" s="60" t="str">
        <f t="shared" ca="1" si="0"/>
        <v/>
      </c>
    </row>
    <row r="10" spans="1:13">
      <c r="A10" s="60" t="str">
        <f t="shared" ca="1" si="0"/>
        <v/>
      </c>
    </row>
    <row r="11" spans="1:13">
      <c r="A11" s="60" t="str">
        <f t="shared" ca="1" si="0"/>
        <v/>
      </c>
    </row>
    <row r="12" spans="1:13">
      <c r="A12" s="60" t="str">
        <f t="shared" ca="1" si="0"/>
        <v/>
      </c>
    </row>
    <row r="13" spans="1:13">
      <c r="A13" s="60" t="str">
        <f t="shared" ca="1" si="0"/>
        <v/>
      </c>
    </row>
    <row r="14" spans="1:13">
      <c r="A14" s="60" t="str">
        <f t="shared" ca="1" si="0"/>
        <v/>
      </c>
    </row>
    <row r="15" spans="1:13">
      <c r="A15" s="60" t="str">
        <f t="shared" ca="1" si="0"/>
        <v/>
      </c>
    </row>
    <row r="16" spans="1:13">
      <c r="A16" s="60" t="str">
        <f t="shared" ca="1" si="0"/>
        <v/>
      </c>
    </row>
    <row r="17" spans="1:1">
      <c r="A17" s="60" t="str">
        <f t="shared" ca="1" si="0"/>
        <v/>
      </c>
    </row>
    <row r="18" spans="1:1">
      <c r="A18" s="60" t="str">
        <f t="shared" ca="1" si="0"/>
        <v/>
      </c>
    </row>
    <row r="19" spans="1:1">
      <c r="A19" s="60" t="str">
        <f t="shared" ca="1" si="0"/>
        <v>aword</v>
      </c>
    </row>
    <row r="20" spans="1:1">
      <c r="A20" s="60" t="str">
        <f ca="1">IF(D$1&lt;&gt;A21,A21,A20)</f>
        <v>aword</v>
      </c>
    </row>
    <row r="21" spans="1:1">
      <c r="A21" s="60" t="str">
        <f ca="1">IF(C1="","",IF(D$1&lt;&gt;A21,D$1,A21))</f>
        <v>Your Name</v>
      </c>
    </row>
  </sheetData>
  <sheetProtection algorithmName="SHA-512" hashValue="PyJZG5r3C5RcAxy4mp/uBJ5GdAkweXsWouZHsOd0Ow65isPuVJIDrnpqC/lDfvZsF5r7dRp8rt0+13U1l1N0+w==" saltValue="aPL74e8iU8fisqsjwESHlA==" spinCount="100000" sheet="1" objects="1" scenarios="1"/>
  <mergeCells count="1">
    <mergeCell ref="F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5569-1A4C-40AA-9992-64984D6C147A}">
  <dimension ref="A1:O20"/>
  <sheetViews>
    <sheetView zoomScaleNormal="100" workbookViewId="0">
      <selection activeCell="H26" sqref="H26"/>
    </sheetView>
  </sheetViews>
  <sheetFormatPr defaultRowHeight="15"/>
  <cols>
    <col min="4" max="4" width="7" bestFit="1" customWidth="1"/>
    <col min="5" max="5" width="15.140625" customWidth="1"/>
    <col min="8" max="8" width="9.5703125" customWidth="1"/>
    <col min="13" max="13" width="12.28515625" customWidth="1"/>
  </cols>
  <sheetData>
    <row r="1" spans="1:15" ht="15.75" thickBot="1">
      <c r="E1" s="79" t="s">
        <v>76</v>
      </c>
      <c r="F1" s="69"/>
      <c r="G1" s="69"/>
      <c r="H1" s="69"/>
      <c r="I1" s="69"/>
      <c r="J1" s="69"/>
      <c r="K1" s="70"/>
    </row>
    <row r="2" spans="1:15">
      <c r="E2" s="93" t="s">
        <v>46</v>
      </c>
      <c r="F2" s="94"/>
      <c r="G2" s="94"/>
      <c r="H2" s="94"/>
      <c r="I2" s="94"/>
      <c r="J2" s="94"/>
      <c r="K2" s="95"/>
    </row>
    <row r="3" spans="1:15" ht="15" customHeight="1">
      <c r="E3" s="96"/>
      <c r="F3" s="97"/>
      <c r="G3" s="97"/>
      <c r="H3" s="97"/>
      <c r="I3" s="97"/>
      <c r="J3" s="97"/>
      <c r="K3" s="98"/>
      <c r="M3" s="61" t="s">
        <v>75</v>
      </c>
      <c r="N3" s="61"/>
      <c r="O3" s="61"/>
    </row>
    <row r="4" spans="1:15" ht="15.75" thickBot="1">
      <c r="E4" s="99"/>
      <c r="F4" s="100"/>
      <c r="G4" s="100"/>
      <c r="H4" s="100"/>
      <c r="I4" s="100"/>
      <c r="J4" s="100"/>
      <c r="K4" s="101"/>
      <c r="M4" s="61"/>
      <c r="N4" s="61"/>
      <c r="O4" s="61"/>
    </row>
    <row r="5" spans="1:15">
      <c r="E5" s="93" t="s">
        <v>84</v>
      </c>
      <c r="F5" s="94"/>
      <c r="G5" s="94"/>
      <c r="H5" s="94"/>
      <c r="I5" s="94"/>
      <c r="J5" s="94"/>
      <c r="K5" s="95"/>
    </row>
    <row r="6" spans="1:15" ht="15.75" thickBot="1">
      <c r="E6" s="99"/>
      <c r="F6" s="100"/>
      <c r="G6" s="100"/>
      <c r="H6" s="100"/>
      <c r="I6" s="100"/>
      <c r="J6" s="100"/>
      <c r="K6" s="101"/>
    </row>
    <row r="7" spans="1:15" ht="15.75" thickBot="1">
      <c r="A7" s="32" t="s">
        <v>0</v>
      </c>
      <c r="B7" s="68" t="s">
        <v>26</v>
      </c>
      <c r="C7" s="70"/>
      <c r="D7" s="32" t="s">
        <v>1</v>
      </c>
      <c r="E7" s="32" t="s">
        <v>2</v>
      </c>
      <c r="F7" s="68" t="s">
        <v>38</v>
      </c>
      <c r="G7" s="69"/>
      <c r="H7" s="69"/>
      <c r="I7" s="68" t="s">
        <v>43</v>
      </c>
      <c r="J7" s="69"/>
      <c r="K7" s="69"/>
      <c r="L7" s="69"/>
      <c r="M7" s="70"/>
    </row>
    <row r="8" spans="1:15">
      <c r="A8" s="4">
        <v>0</v>
      </c>
      <c r="B8" s="8" t="s">
        <v>27</v>
      </c>
      <c r="C8" s="9">
        <f ca="1">MOD(Sheet2!B12,1000)+1000</f>
        <v>1331</v>
      </c>
      <c r="D8" s="4"/>
      <c r="E8" s="4"/>
      <c r="F8" s="91"/>
      <c r="G8" s="92"/>
      <c r="H8" s="102"/>
      <c r="I8" s="62"/>
      <c r="J8" s="63"/>
      <c r="K8" s="63"/>
      <c r="L8" s="63"/>
      <c r="M8" s="64"/>
    </row>
    <row r="9" spans="1:15">
      <c r="A9" s="4">
        <v>1</v>
      </c>
      <c r="B9" s="8" t="s">
        <v>28</v>
      </c>
      <c r="C9" s="10">
        <f ca="1">C8*ROUND(1+SIGN(Sheet2!B$14-Sheet2!B$15)*Sheet2!D$15%,5)</f>
        <v>1322.1621600000001</v>
      </c>
      <c r="D9" s="7">
        <f t="shared" ref="D9:D18" ca="1" si="0">C9-C8</f>
        <v>-8.8378399999999147</v>
      </c>
      <c r="E9" s="5">
        <f t="shared" ref="E9:E18" ca="1" si="1">C9/C8-1</f>
        <v>-6.6399999999999793E-3</v>
      </c>
      <c r="F9" s="91" t="str">
        <f ca="1">B9&amp;" = "&amp;B8&amp;" + "&amp;ROUND(D9,2)</f>
        <v>Q₁ = Q₀ + -8.84</v>
      </c>
      <c r="G9" s="92"/>
      <c r="H9" s="92"/>
      <c r="I9" s="62" t="str">
        <f ca="1">B9&amp;" = "&amp;B8&amp;" + "&amp;B8&amp;"∙("&amp;ROUND(E9*100,2)&amp;"%) = "&amp;B8&amp;"∙(1 + "&amp;ROUND(E9*100,2)&amp;"%)"</f>
        <v>Q₁ = Q₀ + Q₀∙(-0.66%) = Q₀∙(1 + -0.66%)</v>
      </c>
      <c r="J9" s="63"/>
      <c r="K9" s="63"/>
      <c r="L9" s="63"/>
      <c r="M9" s="64"/>
    </row>
    <row r="10" spans="1:15">
      <c r="A10" s="4">
        <v>2</v>
      </c>
      <c r="B10" s="8" t="s">
        <v>29</v>
      </c>
      <c r="C10" s="10">
        <f ca="1">C9*ROUND(1+SIGN(Sheet2!B$14-Sheet2!B$15)*Sheet2!D$15%,5)</f>
        <v>1313.3830032576002</v>
      </c>
      <c r="D10" s="7">
        <f t="shared" ca="1" si="0"/>
        <v>-8.7791567423998913</v>
      </c>
      <c r="E10" s="5">
        <f t="shared" ca="1" si="1"/>
        <v>-6.6399999999998682E-3</v>
      </c>
      <c r="F10" s="91" t="str">
        <f ca="1">B10&amp;" = "&amp;B9&amp;" + "&amp;ROUND(D10,2)&amp;""</f>
        <v>Q₂ = Q₁ + -8.78</v>
      </c>
      <c r="G10" s="92"/>
      <c r="H10" s="92"/>
      <c r="I10" s="62" t="str">
        <f ca="1">B10&amp;" = "&amp;B9&amp;" + "&amp;B9&amp;"∙("&amp;ROUND(E10*100,2)&amp;"%) = "&amp;B9&amp;"∙(1 + "&amp;ROUND(E10*100,2)&amp;"%) = "&amp;B$8&amp;"∙(1 + "&amp;ROUND(E10*100,2)&amp;"%)²"</f>
        <v>Q₂ = Q₁ + Q₁∙(-0.66%) = Q₁∙(1 + -0.66%) = Q₀∙(1 + -0.66%)²</v>
      </c>
      <c r="J10" s="63"/>
      <c r="K10" s="63"/>
      <c r="L10" s="63"/>
      <c r="M10" s="64"/>
    </row>
    <row r="11" spans="1:15">
      <c r="A11" s="4">
        <v>3</v>
      </c>
      <c r="B11" s="8" t="s">
        <v>30</v>
      </c>
      <c r="C11" s="10">
        <f ca="1">C10*ROUND(1+SIGN(Sheet2!B$14-Sheet2!B$15)*Sheet2!D$15%,5)</f>
        <v>1304.6621401159698</v>
      </c>
      <c r="D11" s="7">
        <f t="shared" ca="1" si="0"/>
        <v>-8.7208631416303888</v>
      </c>
      <c r="E11" s="5">
        <f t="shared" ca="1" si="1"/>
        <v>-6.6399999999999793E-3</v>
      </c>
      <c r="F11" s="91" t="str">
        <f t="shared" ref="F11:F18" ca="1" si="2">B11&amp;" = "&amp;B10&amp;" + "&amp;ROUND(D11,2)&amp;""</f>
        <v>Q₃ = Q₂ + -8.72</v>
      </c>
      <c r="G11" s="92"/>
      <c r="H11" s="92"/>
      <c r="I11" s="62" t="str">
        <f ca="1">B11&amp;" = "&amp;B10&amp;" + "&amp;B10&amp;"∙("&amp;ROUND(E11*100,2)&amp;"%) = "&amp;B10&amp;"∙(1 + "&amp;ROUND(E11*100,2)&amp;"%) = "&amp;B$8&amp;"∙(1 + "&amp;ROUND(E11*100,2)&amp;"%)³"</f>
        <v>Q₃ = Q₂ + Q₂∙(-0.66%) = Q₂∙(1 + -0.66%) = Q₀∙(1 + -0.66%)³</v>
      </c>
      <c r="J11" s="63"/>
      <c r="K11" s="63"/>
      <c r="L11" s="63"/>
      <c r="M11" s="64"/>
    </row>
    <row r="12" spans="1:15">
      <c r="A12" s="4">
        <v>4</v>
      </c>
      <c r="B12" s="8" t="s">
        <v>31</v>
      </c>
      <c r="C12" s="10">
        <f ca="1">C11*ROUND(1+SIGN(Sheet2!B$14-Sheet2!B$15)*Sheet2!D$15%,5)</f>
        <v>1295.9991835055998</v>
      </c>
      <c r="D12" s="7">
        <f t="shared" ca="1" si="0"/>
        <v>-8.6629566103699744</v>
      </c>
      <c r="E12" s="5">
        <f t="shared" ca="1" si="1"/>
        <v>-6.6399999999999793E-3</v>
      </c>
      <c r="F12" s="91" t="str">
        <f t="shared" ca="1" si="2"/>
        <v>Q₄ = Q₃ + -8.66</v>
      </c>
      <c r="G12" s="92"/>
      <c r="H12" s="92"/>
      <c r="I12" s="62" t="str">
        <f ca="1">B12&amp;" = "&amp;B11&amp;" + "&amp;B11&amp;"∙("&amp;ROUND(E12*100,2)&amp;"%) = "&amp;B11&amp;"∙(1 + "&amp;ROUND(E12*100,2)&amp;"%) = "&amp;B$8&amp;"∙(1 + "&amp;ROUND(E12*100,2)&amp;"%)⁴"</f>
        <v>Q₄ = Q₃ + Q₃∙(-0.66%) = Q₃∙(1 + -0.66%) = Q₀∙(1 + -0.66%)⁴</v>
      </c>
      <c r="J12" s="63"/>
      <c r="K12" s="63"/>
      <c r="L12" s="63"/>
      <c r="M12" s="64"/>
    </row>
    <row r="13" spans="1:15">
      <c r="A13" s="4">
        <v>5</v>
      </c>
      <c r="B13" s="8" t="s">
        <v>32</v>
      </c>
      <c r="C13" s="10">
        <f ca="1">C12*ROUND(1+SIGN(Sheet2!B$14-Sheet2!B$15)*Sheet2!D$15%,5)</f>
        <v>1287.3937489271227</v>
      </c>
      <c r="D13" s="7">
        <f t="shared" ca="1" si="0"/>
        <v>-8.6054345784771158</v>
      </c>
      <c r="E13" s="5">
        <f t="shared" ca="1" si="1"/>
        <v>-6.6399999999999793E-3</v>
      </c>
      <c r="F13" s="91" t="str">
        <f t="shared" ca="1" si="2"/>
        <v>Q₅ = Q₄ + -8.61</v>
      </c>
      <c r="G13" s="92"/>
      <c r="H13" s="92"/>
      <c r="I13" s="62" t="str">
        <f ca="1">B13&amp;" = "&amp;B12&amp;" + "&amp;B12&amp;"∙("&amp;ROUND(E13*100,2)&amp;"%) = "&amp;B12&amp;"∙(1 + "&amp;ROUND(E13*100,2)&amp;"%) = "&amp;B$8&amp;"∙(1 + "&amp;ROUND(E13*100,2)&amp;"%)⁵"</f>
        <v>Q₅ = Q₄ + Q₄∙(-0.66%) = Q₄∙(1 + -0.66%) = Q₀∙(1 + -0.66%)⁵</v>
      </c>
      <c r="J13" s="63"/>
      <c r="K13" s="63"/>
      <c r="L13" s="63"/>
      <c r="M13" s="64"/>
    </row>
    <row r="14" spans="1:15" ht="15.6" customHeight="1">
      <c r="A14" s="4">
        <v>6</v>
      </c>
      <c r="B14" s="8" t="s">
        <v>33</v>
      </c>
      <c r="C14" s="10">
        <f ca="1">C13*ROUND(1+SIGN(Sheet2!B$14-Sheet2!B$15)*Sheet2!D$15%,5)</f>
        <v>1278.8454544342467</v>
      </c>
      <c r="D14" s="7">
        <f t="shared" ca="1" si="0"/>
        <v>-8.5482944928760389</v>
      </c>
      <c r="E14" s="5">
        <f t="shared" ca="1" si="1"/>
        <v>-6.6399999999999793E-3</v>
      </c>
      <c r="F14" s="91" t="str">
        <f t="shared" ca="1" si="2"/>
        <v>Q₆ = Q₅ + -8.55</v>
      </c>
      <c r="G14" s="92"/>
      <c r="H14" s="92"/>
      <c r="I14" s="62" t="str">
        <f ca="1">B14&amp;" = "&amp;B13&amp;" + "&amp;B13&amp;"∙("&amp;ROUND(E14*100,2)&amp;"%) = "&amp;B13&amp;"∙(1 + "&amp;ROUND(E14*100,2)&amp;"%) = "&amp;B$8&amp;"∙(1 + "&amp;ROUND(E14*100,2)&amp;"%)⁶"</f>
        <v>Q₆ = Q₅ + Q₅∙(-0.66%) = Q₅∙(1 + -0.66%) = Q₀∙(1 + -0.66%)⁶</v>
      </c>
      <c r="J14" s="63"/>
      <c r="K14" s="63"/>
      <c r="L14" s="63"/>
      <c r="M14" s="64"/>
    </row>
    <row r="15" spans="1:15" ht="15.6" customHeight="1">
      <c r="A15" s="4">
        <v>7</v>
      </c>
      <c r="B15" s="8" t="s">
        <v>34</v>
      </c>
      <c r="C15" s="10">
        <f ca="1">C14*ROUND(1+SIGN(Sheet2!B$14-Sheet2!B$15)*Sheet2!D$15%,5)</f>
        <v>1270.3539206168034</v>
      </c>
      <c r="D15" s="7">
        <f t="shared" ca="1" si="0"/>
        <v>-8.4915338174432691</v>
      </c>
      <c r="E15" s="5">
        <f t="shared" ca="1" si="1"/>
        <v>-6.6399999999998682E-3</v>
      </c>
      <c r="F15" s="91" t="str">
        <f t="shared" ca="1" si="2"/>
        <v>Q₇ = Q₆ + -8.49</v>
      </c>
      <c r="G15" s="92"/>
      <c r="H15" s="92"/>
      <c r="I15" s="62" t="str">
        <f ca="1">B15&amp;" = "&amp;B14&amp;" + "&amp;B14&amp;"∙("&amp;ROUND(E15*100,2)&amp;"%) = "&amp;B14&amp;"∙(1 + "&amp;ROUND(E15*100,2)&amp;"%) = "&amp;B$8&amp;"∙(1 + "&amp;ROUND(E15*100,2)&amp;"%)⁷"</f>
        <v>Q₇ = Q₆ + Q₆∙(-0.66%) = Q₆∙(1 + -0.66%) = Q₀∙(1 + -0.66%)⁷</v>
      </c>
      <c r="J15" s="63"/>
      <c r="K15" s="63"/>
      <c r="L15" s="63"/>
      <c r="M15" s="64"/>
    </row>
    <row r="16" spans="1:15" ht="15.6" customHeight="1">
      <c r="A16" s="4">
        <v>8</v>
      </c>
      <c r="B16" s="8" t="s">
        <v>35</v>
      </c>
      <c r="C16" s="10">
        <f ca="1">C15*ROUND(1+SIGN(Sheet2!B$14-Sheet2!B$15)*Sheet2!D$15%,5)</f>
        <v>1261.9187705839079</v>
      </c>
      <c r="D16" s="7">
        <f t="shared" ca="1" si="0"/>
        <v>-8.4351500328955353</v>
      </c>
      <c r="E16" s="5">
        <f t="shared" ca="1" si="1"/>
        <v>-6.6399999999999793E-3</v>
      </c>
      <c r="F16" s="91" t="str">
        <f t="shared" ca="1" si="2"/>
        <v>Q₈ = Q₇ + -8.44</v>
      </c>
      <c r="G16" s="92"/>
      <c r="H16" s="92"/>
      <c r="I16" s="62" t="str">
        <f ca="1">B16&amp;" = "&amp;B15&amp;" + "&amp;B15&amp;"∙("&amp;ROUND(E16*100,2)&amp;"%) = "&amp;B15&amp;"∙(1 + "&amp;ROUND(E16*100,2)&amp;"%) = "&amp;B$8&amp;"∙(1 + "&amp;ROUND(E16*100,2)&amp;"%)⁸"</f>
        <v>Q₈ = Q₇ + Q₇∙(-0.66%) = Q₇∙(1 + -0.66%) = Q₀∙(1 + -0.66%)⁸</v>
      </c>
      <c r="J16" s="63"/>
      <c r="K16" s="63"/>
      <c r="L16" s="63"/>
      <c r="M16" s="64"/>
    </row>
    <row r="17" spans="1:13" ht="15.6" customHeight="1">
      <c r="A17" s="4">
        <v>9</v>
      </c>
      <c r="B17" s="8" t="s">
        <v>36</v>
      </c>
      <c r="C17" s="10">
        <f ca="1">C16*ROUND(1+SIGN(Sheet2!B$14-Sheet2!B$15)*Sheet2!D$15%,5)</f>
        <v>1253.5396299472307</v>
      </c>
      <c r="D17" s="7">
        <f t="shared" ca="1" si="0"/>
        <v>-8.3791406366772208</v>
      </c>
      <c r="E17" s="5">
        <f t="shared" ca="1" si="1"/>
        <v>-6.6400000000000903E-3</v>
      </c>
      <c r="F17" s="91" t="str">
        <f t="shared" ca="1" si="2"/>
        <v>Q₉ = Q₈ + -8.38</v>
      </c>
      <c r="G17" s="92"/>
      <c r="H17" s="92"/>
      <c r="I17" s="62" t="str">
        <f ca="1">B17&amp;" = "&amp;B16&amp;" + "&amp;B16&amp;"∙("&amp;ROUND(E17*100,2)&amp;"%) = "&amp;B16&amp;"∙(1 + "&amp;ROUND(E17*100,2)&amp;"%) = "&amp;B$8&amp;"∙(1 + "&amp;ROUND(E17*100,2)&amp;"%)⁹"</f>
        <v>Q₉ = Q₈ + Q₈∙(-0.66%) = Q₈∙(1 + -0.66%) = Q₀∙(1 + -0.66%)⁹</v>
      </c>
      <c r="J17" s="63"/>
      <c r="K17" s="63"/>
      <c r="L17" s="63"/>
      <c r="M17" s="64"/>
    </row>
    <row r="18" spans="1:13" ht="15.6" customHeight="1">
      <c r="A18" s="4">
        <v>10</v>
      </c>
      <c r="B18" s="8" t="s">
        <v>37</v>
      </c>
      <c r="C18" s="10">
        <f ca="1">C17*ROUND(1+SIGN(Sheet2!B$14-Sheet2!B$15)*Sheet2!D$15%,5)</f>
        <v>1245.216126804381</v>
      </c>
      <c r="D18" s="7">
        <f t="shared" ca="1" si="0"/>
        <v>-8.3235031428496313</v>
      </c>
      <c r="E18" s="5">
        <f t="shared" ca="1" si="1"/>
        <v>-6.6399999999999793E-3</v>
      </c>
      <c r="F18" s="91" t="str">
        <f t="shared" ca="1" si="2"/>
        <v>Q₁₀ = Q₉ + -8.32</v>
      </c>
      <c r="G18" s="92"/>
      <c r="H18" s="92"/>
      <c r="I18" s="62" t="str">
        <f ca="1">B18&amp;" = "&amp;B17&amp;" + "&amp;B17&amp;"∙("&amp;ROUND(E18*100,2)&amp;"%) = "&amp;B17&amp;"∙(1 + "&amp;ROUND(E18*100,2)&amp;"%) = "&amp;B$8&amp;"∙(1 + "&amp;ROUND(E18*100,2)&amp;"%)¹⁰"</f>
        <v>Q₁₀ = Q₉ + Q₉∙(-0.66%) = Q₉∙(1 + -0.66%) = Q₀∙(1 + -0.66%)¹⁰</v>
      </c>
      <c r="J18" s="63"/>
      <c r="K18" s="63"/>
      <c r="L18" s="63"/>
      <c r="M18" s="64"/>
    </row>
    <row r="19" spans="1:13">
      <c r="A19" s="4" t="s">
        <v>42</v>
      </c>
      <c r="B19" s="8" t="s">
        <v>42</v>
      </c>
      <c r="C19" s="9" t="s">
        <v>42</v>
      </c>
      <c r="D19" s="4" t="s">
        <v>42</v>
      </c>
      <c r="E19" s="4" t="s">
        <v>42</v>
      </c>
      <c r="F19" s="91" t="s">
        <v>42</v>
      </c>
      <c r="G19" s="92"/>
      <c r="H19" s="92"/>
      <c r="I19" s="62" t="s">
        <v>42</v>
      </c>
      <c r="J19" s="63"/>
      <c r="K19" s="63"/>
      <c r="L19" s="63"/>
      <c r="M19" s="64"/>
    </row>
    <row r="20" spans="1:13" ht="15.75" thickBot="1">
      <c r="A20" s="6" t="s">
        <v>39</v>
      </c>
      <c r="B20" s="11" t="s">
        <v>40</v>
      </c>
      <c r="C20" s="12"/>
      <c r="D20" s="13" t="s">
        <v>41</v>
      </c>
      <c r="E20" s="58">
        <f ca="1">E18</f>
        <v>-6.6399999999999793E-3</v>
      </c>
      <c r="F20" s="103" t="str">
        <f>B20&amp;" = "&amp;B18&amp;" + "&amp;D20</f>
        <v>Qₙ = Q₁₀ + ???</v>
      </c>
      <c r="G20" s="104"/>
      <c r="H20" s="104"/>
      <c r="I20" s="65" t="str">
        <f ca="1">B20&amp;" =  "&amp;B$8&amp;"∙(1 + "&amp;ROUND(E20*100,2)&amp;"%)ⁿ"</f>
        <v>Qₙ =  Q₀∙(1 + -0.66%)ⁿ</v>
      </c>
      <c r="J20" s="66"/>
      <c r="K20" s="66"/>
      <c r="L20" s="66"/>
      <c r="M20" s="67"/>
    </row>
  </sheetData>
  <sheetProtection formatCells="0" formatColumns="0"/>
  <customSheetViews>
    <customSheetView guid="{86163F03-5311-4FD3-9F34-A891F9AC9F16}">
      <selection activeCell="P16" sqref="P16"/>
      <pageMargins left="0.7" right="0.7" top="0.75" bottom="0.75" header="0.3" footer="0.3"/>
      <pageSetup orientation="portrait" r:id="rId1"/>
    </customSheetView>
  </customSheetViews>
  <mergeCells count="33">
    <mergeCell ref="B7:C7"/>
    <mergeCell ref="F7:H7"/>
    <mergeCell ref="F9:H9"/>
    <mergeCell ref="F20:H20"/>
    <mergeCell ref="I12:M12"/>
    <mergeCell ref="I13:M13"/>
    <mergeCell ref="I14:M14"/>
    <mergeCell ref="F16:H16"/>
    <mergeCell ref="F17:H17"/>
    <mergeCell ref="F18:H18"/>
    <mergeCell ref="I16:M16"/>
    <mergeCell ref="I17:M17"/>
    <mergeCell ref="I9:M9"/>
    <mergeCell ref="F13:H13"/>
    <mergeCell ref="I10:M10"/>
    <mergeCell ref="F12:H12"/>
    <mergeCell ref="E1:K1"/>
    <mergeCell ref="F19:H19"/>
    <mergeCell ref="E2:K4"/>
    <mergeCell ref="E5:K6"/>
    <mergeCell ref="I7:M7"/>
    <mergeCell ref="F8:H8"/>
    <mergeCell ref="I8:M8"/>
    <mergeCell ref="F14:H14"/>
    <mergeCell ref="F15:H15"/>
    <mergeCell ref="I15:M15"/>
    <mergeCell ref="F10:H10"/>
    <mergeCell ref="F11:H11"/>
    <mergeCell ref="M3:O4"/>
    <mergeCell ref="I20:M20"/>
    <mergeCell ref="I11:M11"/>
    <mergeCell ref="I18:M18"/>
    <mergeCell ref="I19:M19"/>
  </mergeCells>
  <hyperlinks>
    <hyperlink ref="M3:O4" r:id="rId2" display="https://youtu.be/HoCMAoenzDw" xr:uid="{D9262481-9EDA-481F-B42B-0C6411D8AE1E}"/>
  </hyperlinks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9418-C12E-441C-955A-4392F0CF155C}">
  <dimension ref="A1:L36"/>
  <sheetViews>
    <sheetView workbookViewId="0">
      <selection activeCell="N16" sqref="N16"/>
    </sheetView>
  </sheetViews>
  <sheetFormatPr defaultRowHeight="15"/>
  <cols>
    <col min="1" max="1" width="14.7109375" bestFit="1" customWidth="1"/>
    <col min="2" max="2" width="10.7109375" customWidth="1"/>
    <col min="4" max="4" width="11" bestFit="1" customWidth="1"/>
    <col min="11" max="11" width="21.140625" customWidth="1"/>
    <col min="12" max="12" width="24.140625" customWidth="1"/>
  </cols>
  <sheetData>
    <row r="1" spans="1:12" ht="15.75" thickBot="1"/>
    <row r="2" spans="1:12" ht="18.75" thickBot="1">
      <c r="F2" s="105" t="s">
        <v>74</v>
      </c>
      <c r="G2" s="106"/>
      <c r="H2" s="106"/>
      <c r="I2" s="106"/>
      <c r="J2" s="106"/>
      <c r="K2" s="107"/>
    </row>
    <row r="3" spans="1:12" ht="15.75" thickBot="1"/>
    <row r="4" spans="1:12" ht="15" customHeight="1" thickTop="1">
      <c r="A4" s="110" t="s">
        <v>50</v>
      </c>
      <c r="B4" s="111"/>
      <c r="C4" s="111"/>
      <c r="D4" s="111"/>
      <c r="E4" s="111"/>
      <c r="F4" s="111"/>
      <c r="G4" s="111"/>
      <c r="H4" s="111"/>
      <c r="I4" s="112"/>
      <c r="K4" s="108" t="s">
        <v>52</v>
      </c>
      <c r="L4" s="109"/>
    </row>
    <row r="5" spans="1:12" ht="15" customHeight="1">
      <c r="A5" s="113"/>
      <c r="B5" s="114"/>
      <c r="C5" s="114"/>
      <c r="D5" s="114"/>
      <c r="E5" s="114"/>
      <c r="F5" s="114"/>
      <c r="G5" s="114"/>
      <c r="H5" s="114"/>
      <c r="I5" s="115"/>
      <c r="K5" s="16" t="s">
        <v>53</v>
      </c>
      <c r="L5" s="17" t="s">
        <v>54</v>
      </c>
    </row>
    <row r="6" spans="1:12" ht="15" customHeight="1">
      <c r="A6" s="113"/>
      <c r="B6" s="114"/>
      <c r="C6" s="114"/>
      <c r="D6" s="114"/>
      <c r="E6" s="114"/>
      <c r="F6" s="114"/>
      <c r="G6" s="114"/>
      <c r="H6" s="114"/>
      <c r="I6" s="115"/>
      <c r="K6" s="18" t="s">
        <v>55</v>
      </c>
      <c r="L6" s="19" t="s">
        <v>56</v>
      </c>
    </row>
    <row r="7" spans="1:12" ht="15" customHeight="1" thickBot="1">
      <c r="A7" s="116"/>
      <c r="B7" s="117"/>
      <c r="C7" s="117"/>
      <c r="D7" s="117"/>
      <c r="E7" s="117"/>
      <c r="F7" s="117"/>
      <c r="G7" s="117"/>
      <c r="H7" s="117"/>
      <c r="I7" s="118"/>
      <c r="K7" s="20" t="s">
        <v>57</v>
      </c>
      <c r="L7" s="19" t="s">
        <v>58</v>
      </c>
    </row>
    <row r="8" spans="1:12" ht="15" customHeight="1">
      <c r="A8" s="24"/>
      <c r="B8" s="24"/>
      <c r="C8" s="24"/>
      <c r="D8" s="24"/>
      <c r="E8" s="24"/>
      <c r="F8" s="24"/>
      <c r="G8" s="24"/>
      <c r="H8" s="24"/>
      <c r="I8" s="24"/>
      <c r="K8" s="33" t="s">
        <v>59</v>
      </c>
      <c r="L8" s="19" t="s">
        <v>60</v>
      </c>
    </row>
    <row r="9" spans="1:12" ht="15" customHeight="1" thickBot="1">
      <c r="K9" s="22" t="s">
        <v>61</v>
      </c>
      <c r="L9" s="23" t="s">
        <v>62</v>
      </c>
    </row>
    <row r="10" spans="1:12" s="14" customFormat="1" ht="30.6" customHeight="1" thickTop="1" thickBot="1">
      <c r="A10" s="52" t="s">
        <v>72</v>
      </c>
      <c r="B10" s="53" t="s">
        <v>65</v>
      </c>
      <c r="C10" s="54" t="s">
        <v>1</v>
      </c>
      <c r="D10" s="55" t="s">
        <v>48</v>
      </c>
    </row>
    <row r="11" spans="1:12" s="1" customFormat="1" ht="15.75" thickBot="1">
      <c r="A11" s="1">
        <v>0</v>
      </c>
      <c r="B11" s="44">
        <f ca="1">MOD(Sheet2!B28,1000)+1000</f>
        <v>1723</v>
      </c>
      <c r="F11" s="110" t="s">
        <v>49</v>
      </c>
      <c r="G11" s="111"/>
      <c r="H11" s="111"/>
      <c r="I11" s="111"/>
      <c r="J11" s="112"/>
      <c r="K11" s="25" t="s">
        <v>63</v>
      </c>
      <c r="L11" s="40"/>
    </row>
    <row r="12" spans="1:12" ht="15.75" thickBot="1">
      <c r="A12">
        <v>1</v>
      </c>
      <c r="B12" s="45">
        <f ca="1">IF(Sheet2!C$28=0,B11*(1+SIGN(Sheet2!C$33-1/2)*Sheet2!D$28/10),B11+SIGN(Sheet2!C$33-1/2)*100*Sheet2!D$26)</f>
        <v>1656.2122802734375</v>
      </c>
      <c r="C12" s="34"/>
      <c r="D12" s="35"/>
      <c r="F12" s="116"/>
      <c r="G12" s="117"/>
      <c r="H12" s="117"/>
      <c r="I12" s="117"/>
      <c r="J12" s="118"/>
      <c r="K12" s="26" t="s">
        <v>64</v>
      </c>
      <c r="L12" s="41"/>
    </row>
    <row r="13" spans="1:12" ht="15.75" thickBot="1">
      <c r="A13">
        <v>2</v>
      </c>
      <c r="B13" s="45">
        <f ca="1">IF(Sheet2!C$28=0,B12*(1+SIGN(Sheet2!C$33-1/2)*Sheet2!D$28/10),B12+SIGN(Sheet2!C$33-1/2)*100*Sheet2!D$26)</f>
        <v>1589.424560546875</v>
      </c>
      <c r="C13" s="36"/>
      <c r="D13" s="37"/>
    </row>
    <row r="14" spans="1:12" ht="14.45" customHeight="1" thickBot="1">
      <c r="A14">
        <v>3</v>
      </c>
      <c r="B14" s="45">
        <f ca="1">IF(Sheet2!C$28=0,B13*(1+SIGN(Sheet2!C$33-1/2)*Sheet2!D$28/10),B13+SIGN(Sheet2!C$33-1/2)*100*Sheet2!D$26)</f>
        <v>1522.6368408203125</v>
      </c>
      <c r="C14" s="36"/>
      <c r="D14" s="37"/>
      <c r="F14" s="93" t="s">
        <v>67</v>
      </c>
      <c r="G14" s="94"/>
      <c r="H14" s="94"/>
      <c r="I14" s="94"/>
      <c r="J14" s="95"/>
      <c r="K14" s="27" t="s">
        <v>82</v>
      </c>
      <c r="L14" s="42"/>
    </row>
    <row r="15" spans="1:12">
      <c r="A15">
        <v>4</v>
      </c>
      <c r="B15" s="45">
        <f ca="1">IF(Sheet2!C$28=0,B14*(1+SIGN(Sheet2!C$33-1/2)*Sheet2!D$28/10),B14+SIGN(Sheet2!C$33-1/2)*100*Sheet2!D$26)</f>
        <v>1455.84912109375</v>
      </c>
      <c r="C15" s="36"/>
      <c r="D15" s="37"/>
      <c r="F15" s="96"/>
      <c r="G15" s="97"/>
      <c r="H15" s="97"/>
      <c r="I15" s="97"/>
      <c r="J15" s="98"/>
    </row>
    <row r="16" spans="1:12" ht="15.75" thickBot="1">
      <c r="A16">
        <v>5</v>
      </c>
      <c r="B16" s="45">
        <f ca="1">IF(Sheet2!C$28=0,B15*(1+SIGN(Sheet2!C$33-1/2)*Sheet2!D$28/10),B15+SIGN(Sheet2!C$33-1/2)*100*Sheet2!D$26)</f>
        <v>1389.0614013671875</v>
      </c>
      <c r="C16" s="36"/>
      <c r="D16" s="37"/>
      <c r="F16" s="99"/>
      <c r="G16" s="100"/>
      <c r="H16" s="100"/>
      <c r="I16" s="100"/>
      <c r="J16" s="101"/>
    </row>
    <row r="17" spans="1:11" ht="15.75" thickBot="1">
      <c r="A17">
        <v>6</v>
      </c>
      <c r="B17" s="45">
        <f ca="1">IF(Sheet2!C$28=0,B16*(1+SIGN(Sheet2!C$33-1/2)*Sheet2!D$28/10),B16+SIGN(Sheet2!C$33-1/2)*100*Sheet2!D$26)</f>
        <v>1322.273681640625</v>
      </c>
      <c r="C17" s="36"/>
      <c r="D17" s="37"/>
    </row>
    <row r="18" spans="1:11" ht="15.75" thickBot="1">
      <c r="A18">
        <v>7</v>
      </c>
      <c r="B18" s="45">
        <f ca="1">IF(Sheet2!C$28=0,B17*(1+SIGN(Sheet2!C$33-1/2)*Sheet2!D$28/10),B17+SIGN(Sheet2!C$33-1/2)*100*Sheet2!D$26)</f>
        <v>1255.4859619140625</v>
      </c>
      <c r="C18" s="36"/>
      <c r="D18" s="37"/>
      <c r="F18" s="68" t="s">
        <v>71</v>
      </c>
      <c r="G18" s="69"/>
      <c r="H18" s="69"/>
      <c r="I18" s="69"/>
      <c r="J18" s="70"/>
      <c r="K18" s="43"/>
    </row>
    <row r="19" spans="1:11" ht="15.75" thickBot="1">
      <c r="A19">
        <v>8</v>
      </c>
      <c r="B19" s="45">
        <f ca="1">IF(Sheet2!C$28=0,B18*(1+SIGN(Sheet2!C$33-1/2)*Sheet2!D$28/10),B18+SIGN(Sheet2!C$33-1/2)*100*Sheet2!D$26)</f>
        <v>1188.6982421875</v>
      </c>
      <c r="C19" s="36"/>
      <c r="D19" s="37"/>
      <c r="F19" s="68" t="s">
        <v>70</v>
      </c>
      <c r="G19" s="69"/>
      <c r="H19" s="69"/>
      <c r="I19" s="69"/>
      <c r="J19" s="70"/>
      <c r="K19" s="41"/>
    </row>
    <row r="20" spans="1:11" ht="15.75" thickBot="1">
      <c r="A20">
        <v>9</v>
      </c>
      <c r="B20" s="45">
        <f ca="1">IF(Sheet2!C$28=0,B19*(1+SIGN(Sheet2!C$33-1/2)*Sheet2!D$28/10),B19+SIGN(Sheet2!C$33-1/2)*100*Sheet2!D$26)</f>
        <v>1121.9105224609375</v>
      </c>
      <c r="C20" s="36"/>
      <c r="D20" s="37"/>
      <c r="F20" s="68" t="s">
        <v>66</v>
      </c>
      <c r="G20" s="69"/>
      <c r="H20" s="69"/>
      <c r="I20" s="69"/>
      <c r="J20" s="70"/>
      <c r="K20" s="41"/>
    </row>
    <row r="21" spans="1:11">
      <c r="A21">
        <v>10</v>
      </c>
      <c r="B21" s="45">
        <f ca="1">IF(Sheet2!C$28=0,B20*(1+SIGN(Sheet2!C$33-1/2)*Sheet2!D$28/10),B20+SIGN(Sheet2!C$33-1/2)*100*Sheet2!D$26)</f>
        <v>1055.122802734375</v>
      </c>
      <c r="C21" s="36"/>
      <c r="D21" s="37"/>
    </row>
    <row r="22" spans="1:11">
      <c r="A22">
        <v>11</v>
      </c>
      <c r="B22" s="45">
        <f ca="1">IF(Sheet2!C$28=0,B21*(1+SIGN(Sheet2!C$33-1/2)*Sheet2!D$28/10),B21+SIGN(Sheet2!C$33-1/2)*100*Sheet2!D$26)</f>
        <v>988.3350830078125</v>
      </c>
      <c r="C22" s="36"/>
      <c r="D22" s="37"/>
    </row>
    <row r="23" spans="1:11" ht="15.75" thickBot="1">
      <c r="A23">
        <v>12</v>
      </c>
      <c r="B23" s="45">
        <f ca="1">IF(Sheet2!C$28=0,B22*(1+SIGN(Sheet2!C$33-1/2)*Sheet2!D$28/10),B22+SIGN(Sheet2!C$33-1/2)*100*Sheet2!D$26)</f>
        <v>921.54736328125</v>
      </c>
      <c r="C23" s="38"/>
      <c r="D23" s="39"/>
    </row>
    <row r="35" spans="2:5" hidden="1">
      <c r="B35" s="56" t="s">
        <v>80</v>
      </c>
      <c r="C35" s="56"/>
      <c r="D35" s="56"/>
      <c r="E35" s="56" t="s">
        <v>78</v>
      </c>
    </row>
    <row r="36" spans="2:5">
      <c r="B36" s="56" t="s">
        <v>81</v>
      </c>
      <c r="C36" s="56"/>
      <c r="D36" s="56"/>
      <c r="E36" s="56" t="s">
        <v>79</v>
      </c>
    </row>
  </sheetData>
  <sheetProtection formatCells="0" formatColumns="0" formatRows="0"/>
  <customSheetViews>
    <customSheetView guid="{86163F03-5311-4FD3-9F34-A891F9AC9F16}" hiddenRows="1">
      <selection activeCell="K14" sqref="K14"/>
      <pageMargins left="0.7" right="0.7" top="0.75" bottom="0.75" header="0.3" footer="0.3"/>
      <pageSetup orientation="portrait" r:id="rId1"/>
    </customSheetView>
  </customSheetViews>
  <mergeCells count="8">
    <mergeCell ref="F2:K2"/>
    <mergeCell ref="F20:J20"/>
    <mergeCell ref="K4:L4"/>
    <mergeCell ref="F19:J19"/>
    <mergeCell ref="A4:I7"/>
    <mergeCell ref="F11:J12"/>
    <mergeCell ref="F14:J16"/>
    <mergeCell ref="F18:J18"/>
  </mergeCells>
  <dataValidations count="2">
    <dataValidation type="list" allowBlank="1" showInputMessage="1" showErrorMessage="1" sqref="L11" xr:uid="{6D73CEBE-C8BD-4FF3-ABFB-507AA62FC536}">
      <formula1>$B$35:$B$36</formula1>
    </dataValidation>
    <dataValidation type="list" allowBlank="1" showInputMessage="1" showErrorMessage="1" sqref="L14" xr:uid="{6C90C944-E220-4790-BE35-43D860625D87}">
      <formula1>$E$35:$E$36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5A478AD-7002-4CE5-8B27-7F3B4FAF96BE}">
            <xm:f>'Constant Change'!$D$1="aword"</xm:f>
            <x14:dxf>
              <font>
                <strike val="0"/>
                <color theme="6" tint="-0.24994659260841701"/>
              </font>
              <fill>
                <patternFill>
                  <bgColor theme="6" tint="0.39994506668294322"/>
                </patternFill>
              </fill>
            </x14:dxf>
          </x14:cfRule>
          <xm:sqref>A4:L23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7405-FFA4-43AF-9C54-9F380FA82D70}">
  <dimension ref="A1:L39"/>
  <sheetViews>
    <sheetView workbookViewId="0">
      <selection activeCell="K14" sqref="K14"/>
    </sheetView>
  </sheetViews>
  <sheetFormatPr defaultRowHeight="15"/>
  <cols>
    <col min="1" max="1" width="16.5703125" bestFit="1" customWidth="1"/>
    <col min="2" max="2" width="10.7109375" customWidth="1"/>
    <col min="4" max="4" width="11" bestFit="1" customWidth="1"/>
    <col min="11" max="11" width="20.7109375" customWidth="1"/>
    <col min="12" max="12" width="24.42578125" customWidth="1"/>
    <col min="13" max="13" width="8.85546875" customWidth="1"/>
  </cols>
  <sheetData>
    <row r="1" spans="1:12" ht="15.75" thickBot="1"/>
    <row r="2" spans="1:12" ht="18.75" thickBot="1">
      <c r="F2" s="105" t="s">
        <v>74</v>
      </c>
      <c r="G2" s="106"/>
      <c r="H2" s="106"/>
      <c r="I2" s="106"/>
      <c r="J2" s="106"/>
      <c r="K2" s="107"/>
    </row>
    <row r="3" spans="1:12" ht="15.75" thickBot="1"/>
    <row r="4" spans="1:12" ht="15" customHeight="1" thickTop="1">
      <c r="A4" s="110" t="s">
        <v>51</v>
      </c>
      <c r="B4" s="111"/>
      <c r="C4" s="111"/>
      <c r="D4" s="111"/>
      <c r="E4" s="111"/>
      <c r="F4" s="111"/>
      <c r="G4" s="111"/>
      <c r="H4" s="111"/>
      <c r="I4" s="112"/>
      <c r="K4" s="119" t="s">
        <v>52</v>
      </c>
      <c r="L4" s="120"/>
    </row>
    <row r="5" spans="1:12" ht="15" customHeight="1">
      <c r="A5" s="113"/>
      <c r="B5" s="114"/>
      <c r="C5" s="114"/>
      <c r="D5" s="114"/>
      <c r="E5" s="114"/>
      <c r="F5" s="114"/>
      <c r="G5" s="114"/>
      <c r="H5" s="114"/>
      <c r="I5" s="115"/>
      <c r="K5" s="16" t="s">
        <v>53</v>
      </c>
      <c r="L5" s="17" t="s">
        <v>54</v>
      </c>
    </row>
    <row r="6" spans="1:12" ht="15" customHeight="1">
      <c r="A6" s="113"/>
      <c r="B6" s="114"/>
      <c r="C6" s="114"/>
      <c r="D6" s="114"/>
      <c r="E6" s="114"/>
      <c r="F6" s="114"/>
      <c r="G6" s="114"/>
      <c r="H6" s="114"/>
      <c r="I6" s="115"/>
      <c r="K6" s="18" t="s">
        <v>55</v>
      </c>
      <c r="L6" s="19" t="s">
        <v>56</v>
      </c>
    </row>
    <row r="7" spans="1:12" ht="15" customHeight="1" thickBot="1">
      <c r="A7" s="116"/>
      <c r="B7" s="117"/>
      <c r="C7" s="117"/>
      <c r="D7" s="117"/>
      <c r="E7" s="117"/>
      <c r="F7" s="117"/>
      <c r="G7" s="117"/>
      <c r="H7" s="117"/>
      <c r="I7" s="118"/>
      <c r="K7" s="20" t="s">
        <v>57</v>
      </c>
      <c r="L7" s="19" t="s">
        <v>58</v>
      </c>
    </row>
    <row r="8" spans="1:12" ht="15" customHeight="1">
      <c r="A8" s="24"/>
      <c r="B8" s="24"/>
      <c r="C8" s="24"/>
      <c r="D8" s="24"/>
      <c r="E8" s="24"/>
      <c r="F8" s="24"/>
      <c r="G8" s="24"/>
      <c r="H8" s="24"/>
      <c r="I8" s="24"/>
      <c r="K8" s="21" t="s">
        <v>59</v>
      </c>
      <c r="L8" s="19" t="s">
        <v>60</v>
      </c>
    </row>
    <row r="9" spans="1:12" ht="15" customHeight="1" thickBot="1">
      <c r="K9" s="22" t="s">
        <v>61</v>
      </c>
      <c r="L9" s="23" t="s">
        <v>62</v>
      </c>
    </row>
    <row r="10" spans="1:12" s="14" customFormat="1" ht="30.6" customHeight="1" thickTop="1" thickBot="1">
      <c r="A10" s="28" t="s">
        <v>73</v>
      </c>
      <c r="B10" s="29" t="s">
        <v>47</v>
      </c>
      <c r="C10" s="30" t="s">
        <v>1</v>
      </c>
      <c r="D10" s="31" t="s">
        <v>48</v>
      </c>
    </row>
    <row r="11" spans="1:12" s="1" customFormat="1" ht="15.75" thickBot="1">
      <c r="A11" s="1">
        <v>0</v>
      </c>
      <c r="B11" s="44">
        <f ca="1">MOD(Sheet2!B28,1000)+1000</f>
        <v>1723</v>
      </c>
      <c r="F11" s="110" t="s">
        <v>49</v>
      </c>
      <c r="G11" s="111"/>
      <c r="H11" s="111"/>
      <c r="I11" s="111"/>
      <c r="J11" s="112"/>
      <c r="K11" s="25" t="s">
        <v>63</v>
      </c>
      <c r="L11" s="40"/>
    </row>
    <row r="12" spans="1:12" ht="15.75" thickBot="1">
      <c r="A12">
        <v>1</v>
      </c>
      <c r="B12" s="45">
        <f ca="1">IF(Sheet2!C$28=1,B11*(1+SIGN(Sheet2!C$33-1/2)*Sheet2!D$28%),B11+SIGN(Sheet2!C$33-1/2)*100*Sheet2!D$26)</f>
        <v>1711.0518405151367</v>
      </c>
      <c r="C12" s="46"/>
      <c r="D12" s="47"/>
      <c r="F12" s="116"/>
      <c r="G12" s="117"/>
      <c r="H12" s="117"/>
      <c r="I12" s="117"/>
      <c r="J12" s="118"/>
      <c r="K12" s="26" t="s">
        <v>64</v>
      </c>
      <c r="L12" s="41"/>
    </row>
    <row r="13" spans="1:12" ht="15.75" thickBot="1">
      <c r="A13">
        <v>2</v>
      </c>
      <c r="B13" s="45">
        <f ca="1">IF(Sheet2!C$28=1,B12*(1+SIGN(Sheet2!C$33-1/2)*Sheet2!D$28%),B12+SIGN(Sheet2!C$33-1/2)*100*Sheet2!D$26)</f>
        <v>1699.1865356530684</v>
      </c>
      <c r="C13" s="48"/>
      <c r="D13" s="49"/>
    </row>
    <row r="14" spans="1:12" ht="14.45" customHeight="1" thickBot="1">
      <c r="A14">
        <v>3</v>
      </c>
      <c r="B14" s="45">
        <f ca="1">IF(Sheet2!C$28=1,B13*(1+SIGN(Sheet2!C$33-1/2)*Sheet2!D$28%),B13+SIGN(Sheet2!C$33-1/2)*100*Sheet2!D$26)</f>
        <v>1687.4035108576447</v>
      </c>
      <c r="C14" s="48"/>
      <c r="D14" s="49"/>
      <c r="E14" s="15"/>
      <c r="F14" s="93" t="s">
        <v>67</v>
      </c>
      <c r="G14" s="94"/>
      <c r="H14" s="94"/>
      <c r="I14" s="94"/>
      <c r="J14" s="95"/>
      <c r="K14" s="26" t="s">
        <v>82</v>
      </c>
      <c r="L14" s="42"/>
    </row>
    <row r="15" spans="1:12">
      <c r="A15">
        <v>4</v>
      </c>
      <c r="B15" s="45">
        <f ca="1">IF(Sheet2!C$28=1,B14*(1+SIGN(Sheet2!C$33-1/2)*Sheet2!D$28%),B14+SIGN(Sheet2!C$33-1/2)*100*Sheet2!D$26)</f>
        <v>1675.7021955569801</v>
      </c>
      <c r="C15" s="48"/>
      <c r="D15" s="49"/>
      <c r="F15" s="96"/>
      <c r="G15" s="97"/>
      <c r="H15" s="97"/>
      <c r="I15" s="97"/>
      <c r="J15" s="98"/>
    </row>
    <row r="16" spans="1:12" ht="15.75" thickBot="1">
      <c r="A16">
        <v>5</v>
      </c>
      <c r="B16" s="45">
        <f ca="1">IF(Sheet2!C$28=1,B15*(1+SIGN(Sheet2!C$33-1/2)*Sheet2!D$28%),B15+SIGN(Sheet2!C$33-1/2)*100*Sheet2!D$26)</f>
        <v>1664.082023135825</v>
      </c>
      <c r="C16" s="48"/>
      <c r="D16" s="49"/>
      <c r="F16" s="99"/>
      <c r="G16" s="100"/>
      <c r="H16" s="100"/>
      <c r="I16" s="100"/>
      <c r="J16" s="101"/>
    </row>
    <row r="17" spans="1:11" ht="15.75" thickBot="1">
      <c r="A17">
        <v>6</v>
      </c>
      <c r="B17" s="45">
        <f ca="1">IF(Sheet2!C$28=1,B16*(1+SIGN(Sheet2!C$33-1/2)*Sheet2!D$28%),B16+SIGN(Sheet2!C$33-1/2)*100*Sheet2!D$26)</f>
        <v>1652.5424309081286</v>
      </c>
      <c r="C17" s="48"/>
      <c r="D17" s="49"/>
    </row>
    <row r="18" spans="1:11" ht="15.75" thickBot="1">
      <c r="A18">
        <v>7</v>
      </c>
      <c r="B18" s="45">
        <f ca="1">IF(Sheet2!C$28=1,B17*(1+SIGN(Sheet2!C$33-1/2)*Sheet2!D$28%),B17+SIGN(Sheet2!C$33-1/2)*100*Sheet2!D$26)</f>
        <v>1641.0828600897921</v>
      </c>
      <c r="C18" s="48"/>
      <c r="D18" s="49"/>
      <c r="F18" s="68" t="s">
        <v>71</v>
      </c>
      <c r="G18" s="69"/>
      <c r="H18" s="69"/>
      <c r="I18" s="69"/>
      <c r="J18" s="70"/>
      <c r="K18" s="43"/>
    </row>
    <row r="19" spans="1:11" ht="15.75" thickBot="1">
      <c r="A19">
        <v>8</v>
      </c>
      <c r="B19" s="45">
        <f ca="1">IF(Sheet2!C$28=1,B18*(1+SIGN(Sheet2!C$33-1/2)*Sheet2!D$28%),B18+SIGN(Sheet2!C$33-1/2)*100*Sheet2!D$26)</f>
        <v>1629.7027557716096</v>
      </c>
      <c r="C19" s="48"/>
      <c r="D19" s="49"/>
      <c r="F19" s="68" t="s">
        <v>68</v>
      </c>
      <c r="G19" s="69"/>
      <c r="H19" s="69"/>
      <c r="I19" s="69"/>
      <c r="J19" s="70"/>
      <c r="K19" s="41"/>
    </row>
    <row r="20" spans="1:11" ht="15.75" thickBot="1">
      <c r="A20">
        <v>9</v>
      </c>
      <c r="B20" s="45">
        <f ca="1">IF(Sheet2!C$28=1,B19*(1+SIGN(Sheet2!C$33-1/2)*Sheet2!D$28%),B19+SIGN(Sheet2!C$33-1/2)*100*Sheet2!D$26)</f>
        <v>1618.4015668923987</v>
      </c>
      <c r="C20" s="48"/>
      <c r="D20" s="49"/>
      <c r="F20" s="68" t="s">
        <v>69</v>
      </c>
      <c r="G20" s="69"/>
      <c r="H20" s="69"/>
      <c r="I20" s="69"/>
      <c r="J20" s="70"/>
      <c r="K20" s="41"/>
    </row>
    <row r="21" spans="1:11">
      <c r="A21">
        <v>10</v>
      </c>
      <c r="B21" s="45">
        <f ca="1">IF(Sheet2!C$28=1,B20*(1+SIGN(Sheet2!C$33-1/2)*Sheet2!D$28%),B20+SIGN(Sheet2!C$33-1/2)*100*Sheet2!D$26)</f>
        <v>1607.1787462123157</v>
      </c>
      <c r="C21" s="48"/>
      <c r="D21" s="49"/>
    </row>
    <row r="22" spans="1:11">
      <c r="A22">
        <v>11</v>
      </c>
      <c r="B22" s="45">
        <f ca="1">IF(Sheet2!C$28=1,B21*(1+SIGN(Sheet2!C$33-1/2)*Sheet2!D$28%),B21+SIGN(Sheet2!C$33-1/2)*100*Sheet2!D$26)</f>
        <v>1596.0337502863567</v>
      </c>
      <c r="C22" s="48"/>
      <c r="D22" s="49"/>
    </row>
    <row r="23" spans="1:11" ht="15.75" thickBot="1">
      <c r="A23">
        <v>12</v>
      </c>
      <c r="B23" s="45">
        <f ca="1">IF(Sheet2!C$28=1,B22*(1+SIGN(Sheet2!C$33-1/2)*Sheet2!D$28%),B22+SIGN(Sheet2!C$33-1/2)*100*Sheet2!D$26)</f>
        <v>1584.9660394380423</v>
      </c>
      <c r="C23" s="50"/>
      <c r="D23" s="51"/>
    </row>
    <row r="38" spans="2:5" hidden="1">
      <c r="B38" s="56" t="s">
        <v>80</v>
      </c>
      <c r="C38" s="56"/>
      <c r="D38" s="56"/>
      <c r="E38" s="56" t="s">
        <v>78</v>
      </c>
    </row>
    <row r="39" spans="2:5" hidden="1">
      <c r="B39" s="56" t="s">
        <v>81</v>
      </c>
      <c r="C39" s="56"/>
      <c r="D39" s="56"/>
      <c r="E39" s="56" t="s">
        <v>79</v>
      </c>
    </row>
  </sheetData>
  <sheetProtection formatCells="0" formatColumns="0" formatRows="0"/>
  <customSheetViews>
    <customSheetView guid="{86163F03-5311-4FD3-9F34-A891F9AC9F16}" hiddenRows="1">
      <selection activeCell="K14" sqref="K14"/>
      <pageMargins left="0.7" right="0.7" top="0.75" bottom="0.75" header="0.3" footer="0.3"/>
      <pageSetup orientation="portrait" r:id="rId1"/>
    </customSheetView>
  </customSheetViews>
  <mergeCells count="8">
    <mergeCell ref="F2:K2"/>
    <mergeCell ref="F20:J20"/>
    <mergeCell ref="F18:J18"/>
    <mergeCell ref="K4:L4"/>
    <mergeCell ref="F19:J19"/>
    <mergeCell ref="A4:I7"/>
    <mergeCell ref="F11:J12"/>
    <mergeCell ref="F14:J16"/>
  </mergeCells>
  <dataValidations count="2">
    <dataValidation type="list" allowBlank="1" showInputMessage="1" showErrorMessage="1" sqref="L11" xr:uid="{8388622E-7AED-46B6-AD4A-1316E6FF6241}">
      <formula1>$B$38:$B$39</formula1>
    </dataValidation>
    <dataValidation type="list" allowBlank="1" showInputMessage="1" showErrorMessage="1" sqref="L14" xr:uid="{D5D850EE-C94F-4782-A189-8241BB386E7A}">
      <formula1>$E$38:$E$39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130E405-B7D1-4AE7-BB4B-6762B7A73A63}">
            <xm:f>'Constant Change'!$D$1="aword"</xm:f>
            <x14:dxf>
              <font>
                <color theme="6" tint="-0.24994659260841701"/>
              </font>
              <fill>
                <patternFill>
                  <bgColor theme="6" tint="0.39994506668294322"/>
                </patternFill>
              </fill>
            </x14:dxf>
          </x14:cfRule>
          <xm:sqref>A4:L23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0B47-7081-4CB7-870D-CE3CF3EB27FC}">
  <dimension ref="A1:W45"/>
  <sheetViews>
    <sheetView topLeftCell="A21" zoomScale="130" zoomScaleNormal="130" workbookViewId="0">
      <selection activeCell="F35" sqref="A1:XFD1048576"/>
    </sheetView>
  </sheetViews>
  <sheetFormatPr defaultRowHeight="15"/>
  <cols>
    <col min="5" max="6" width="11" bestFit="1" customWidth="1"/>
  </cols>
  <sheetData>
    <row r="1" spans="1:23"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</row>
    <row r="2" spans="1:23">
      <c r="G2">
        <v>1</v>
      </c>
      <c r="H2">
        <v>2</v>
      </c>
      <c r="I2">
        <v>3</v>
      </c>
      <c r="J2">
        <v>5</v>
      </c>
      <c r="K2">
        <v>7</v>
      </c>
      <c r="L2">
        <v>11</v>
      </c>
      <c r="M2">
        <v>13</v>
      </c>
      <c r="N2">
        <v>17</v>
      </c>
      <c r="O2">
        <v>19</v>
      </c>
      <c r="P2">
        <v>23</v>
      </c>
      <c r="Q2">
        <v>29</v>
      </c>
      <c r="R2">
        <v>947</v>
      </c>
      <c r="S2">
        <v>953</v>
      </c>
      <c r="T2">
        <v>967</v>
      </c>
      <c r="U2">
        <v>971</v>
      </c>
      <c r="V2">
        <v>977</v>
      </c>
      <c r="W2">
        <v>983</v>
      </c>
    </row>
    <row r="3" spans="1:23">
      <c r="G3">
        <v>2</v>
      </c>
      <c r="H3">
        <v>31</v>
      </c>
      <c r="I3">
        <v>37</v>
      </c>
      <c r="J3">
        <v>41</v>
      </c>
      <c r="K3">
        <v>43</v>
      </c>
      <c r="L3">
        <v>47</v>
      </c>
      <c r="M3">
        <v>53</v>
      </c>
      <c r="N3">
        <v>59</v>
      </c>
      <c r="O3">
        <v>61</v>
      </c>
      <c r="P3">
        <v>67</v>
      </c>
      <c r="Q3">
        <v>71</v>
      </c>
      <c r="R3">
        <v>991</v>
      </c>
      <c r="S3">
        <v>997</v>
      </c>
      <c r="T3">
        <v>1009</v>
      </c>
      <c r="U3">
        <v>1013</v>
      </c>
      <c r="V3">
        <v>1019</v>
      </c>
      <c r="W3">
        <v>1021</v>
      </c>
    </row>
    <row r="4" spans="1:23">
      <c r="G4">
        <v>3</v>
      </c>
      <c r="H4">
        <v>73</v>
      </c>
      <c r="I4">
        <v>79</v>
      </c>
      <c r="J4">
        <v>83</v>
      </c>
      <c r="K4">
        <v>89</v>
      </c>
      <c r="L4">
        <v>97</v>
      </c>
      <c r="M4">
        <v>101</v>
      </c>
      <c r="N4">
        <v>103</v>
      </c>
      <c r="O4">
        <v>107</v>
      </c>
      <c r="P4">
        <v>109</v>
      </c>
      <c r="Q4">
        <v>113</v>
      </c>
      <c r="R4">
        <v>1031</v>
      </c>
      <c r="S4">
        <v>1033</v>
      </c>
      <c r="T4">
        <v>1039</v>
      </c>
      <c r="U4">
        <v>1049</v>
      </c>
      <c r="V4">
        <v>1051</v>
      </c>
      <c r="W4">
        <v>1061</v>
      </c>
    </row>
    <row r="5" spans="1:23">
      <c r="G5">
        <v>4</v>
      </c>
      <c r="H5">
        <v>127</v>
      </c>
      <c r="I5">
        <v>131</v>
      </c>
      <c r="J5">
        <v>137</v>
      </c>
      <c r="K5">
        <v>139</v>
      </c>
      <c r="L5">
        <v>149</v>
      </c>
      <c r="M5">
        <v>151</v>
      </c>
      <c r="N5">
        <v>157</v>
      </c>
      <c r="O5">
        <v>163</v>
      </c>
      <c r="P5">
        <v>167</v>
      </c>
      <c r="Q5">
        <v>173</v>
      </c>
      <c r="R5">
        <v>1993</v>
      </c>
      <c r="S5">
        <v>1997</v>
      </c>
      <c r="T5">
        <v>1999</v>
      </c>
      <c r="U5">
        <v>2003</v>
      </c>
      <c r="V5">
        <v>2011</v>
      </c>
      <c r="W5">
        <v>2017</v>
      </c>
    </row>
    <row r="6" spans="1:23">
      <c r="A6">
        <v>1</v>
      </c>
      <c r="B6">
        <f>CODE(MID('Constant Change'!D$1,Sheet2!A6,1))</f>
        <v>89</v>
      </c>
      <c r="C6">
        <f>MOD(B6,16)</f>
        <v>9</v>
      </c>
      <c r="D6">
        <f>MOD((B6-C6)/16,16)</f>
        <v>5</v>
      </c>
      <c r="E6">
        <f ca="1">INDIRECT("R"&amp;(C6+1)&amp;"C"&amp;(D6+7),0)</f>
        <v>439</v>
      </c>
      <c r="G6">
        <v>5</v>
      </c>
      <c r="H6">
        <v>179</v>
      </c>
      <c r="I6">
        <v>181</v>
      </c>
      <c r="J6">
        <v>191</v>
      </c>
      <c r="K6">
        <v>193</v>
      </c>
      <c r="L6">
        <v>197</v>
      </c>
      <c r="M6">
        <v>199</v>
      </c>
      <c r="N6">
        <v>211</v>
      </c>
      <c r="O6">
        <v>223</v>
      </c>
      <c r="P6">
        <v>227</v>
      </c>
      <c r="Q6">
        <v>229</v>
      </c>
      <c r="R6">
        <v>2063</v>
      </c>
      <c r="S6">
        <v>2069</v>
      </c>
      <c r="T6">
        <v>2081</v>
      </c>
      <c r="U6">
        <v>2083</v>
      </c>
      <c r="V6">
        <v>2087</v>
      </c>
      <c r="W6">
        <v>2089</v>
      </c>
    </row>
    <row r="7" spans="1:23">
      <c r="A7">
        <v>2</v>
      </c>
      <c r="B7">
        <f>CODE(MID('Constant Change'!D$1,Sheet2!A7,1))</f>
        <v>111</v>
      </c>
      <c r="C7">
        <f t="shared" ref="C7:C10" si="0">MOD(B7,16)</f>
        <v>15</v>
      </c>
      <c r="D7">
        <f t="shared" ref="D7:D10" si="1">MOD((B7-C7)/16,16)</f>
        <v>6</v>
      </c>
      <c r="E7">
        <f t="shared" ref="E7:E10" ca="1" si="2">INDIRECT("R"&amp;(C7+1)&amp;"C"&amp;(D7+7),0)</f>
        <v>839</v>
      </c>
      <c r="G7">
        <v>6</v>
      </c>
      <c r="H7">
        <v>233</v>
      </c>
      <c r="I7">
        <v>239</v>
      </c>
      <c r="J7">
        <v>241</v>
      </c>
      <c r="K7">
        <v>251</v>
      </c>
      <c r="L7">
        <v>257</v>
      </c>
      <c r="M7">
        <v>263</v>
      </c>
      <c r="N7">
        <v>269</v>
      </c>
      <c r="O7">
        <v>271</v>
      </c>
      <c r="P7">
        <v>277</v>
      </c>
      <c r="Q7">
        <v>281</v>
      </c>
      <c r="R7">
        <v>2131</v>
      </c>
      <c r="S7">
        <v>2137</v>
      </c>
      <c r="T7">
        <v>2141</v>
      </c>
      <c r="U7">
        <v>2143</v>
      </c>
      <c r="V7">
        <v>2153</v>
      </c>
      <c r="W7">
        <v>2161</v>
      </c>
    </row>
    <row r="8" spans="1:23">
      <c r="A8">
        <v>3</v>
      </c>
      <c r="B8">
        <f>CODE(MID('Constant Change'!D$1,Sheet2!A8,1))</f>
        <v>117</v>
      </c>
      <c r="C8">
        <f t="shared" si="0"/>
        <v>5</v>
      </c>
      <c r="D8">
        <f t="shared" si="1"/>
        <v>7</v>
      </c>
      <c r="E8">
        <f t="shared" ca="1" si="2"/>
        <v>211</v>
      </c>
      <c r="G8">
        <v>7</v>
      </c>
      <c r="H8">
        <v>283</v>
      </c>
      <c r="I8">
        <v>293</v>
      </c>
      <c r="J8">
        <v>307</v>
      </c>
      <c r="K8">
        <v>311</v>
      </c>
      <c r="L8">
        <v>313</v>
      </c>
      <c r="M8">
        <v>317</v>
      </c>
      <c r="N8">
        <v>331</v>
      </c>
      <c r="O8">
        <v>337</v>
      </c>
      <c r="P8">
        <v>347</v>
      </c>
      <c r="Q8">
        <v>349</v>
      </c>
      <c r="R8">
        <v>2221</v>
      </c>
      <c r="S8">
        <v>2237</v>
      </c>
      <c r="T8">
        <v>2239</v>
      </c>
      <c r="U8">
        <v>2243</v>
      </c>
      <c r="V8">
        <v>2251</v>
      </c>
      <c r="W8">
        <v>2267</v>
      </c>
    </row>
    <row r="9" spans="1:23">
      <c r="A9">
        <v>4</v>
      </c>
      <c r="B9">
        <f>CODE(MID('Constant Change'!D$1,Sheet2!A9,1))</f>
        <v>114</v>
      </c>
      <c r="C9">
        <f t="shared" si="0"/>
        <v>2</v>
      </c>
      <c r="D9">
        <f t="shared" si="1"/>
        <v>7</v>
      </c>
      <c r="E9">
        <f t="shared" ca="1" si="2"/>
        <v>59</v>
      </c>
      <c r="G9">
        <v>8</v>
      </c>
      <c r="H9">
        <v>353</v>
      </c>
      <c r="I9">
        <v>359</v>
      </c>
      <c r="J9">
        <v>367</v>
      </c>
      <c r="K9">
        <v>373</v>
      </c>
      <c r="L9">
        <v>379</v>
      </c>
      <c r="M9">
        <v>383</v>
      </c>
      <c r="N9">
        <v>389</v>
      </c>
      <c r="O9">
        <v>397</v>
      </c>
      <c r="P9">
        <v>401</v>
      </c>
      <c r="Q9">
        <v>409</v>
      </c>
      <c r="R9">
        <v>2293</v>
      </c>
      <c r="S9">
        <v>2297</v>
      </c>
      <c r="T9">
        <v>2309</v>
      </c>
      <c r="U9">
        <v>2311</v>
      </c>
      <c r="V9">
        <v>2333</v>
      </c>
      <c r="W9">
        <v>2339</v>
      </c>
    </row>
    <row r="10" spans="1:23">
      <c r="A10">
        <v>5</v>
      </c>
      <c r="B10">
        <f>CODE(MID('Constant Change'!D$1,Sheet2!A10,1))</f>
        <v>32</v>
      </c>
      <c r="C10">
        <f t="shared" si="0"/>
        <v>0</v>
      </c>
      <c r="D10">
        <f t="shared" si="1"/>
        <v>2</v>
      </c>
      <c r="E10">
        <f t="shared" ca="1" si="2"/>
        <v>2</v>
      </c>
      <c r="G10">
        <v>9</v>
      </c>
      <c r="H10">
        <v>419</v>
      </c>
      <c r="I10">
        <v>421</v>
      </c>
      <c r="J10">
        <v>431</v>
      </c>
      <c r="K10">
        <v>433</v>
      </c>
      <c r="L10">
        <v>439</v>
      </c>
      <c r="M10">
        <v>443</v>
      </c>
      <c r="N10">
        <v>449</v>
      </c>
      <c r="O10">
        <v>457</v>
      </c>
      <c r="P10">
        <v>461</v>
      </c>
      <c r="Q10">
        <v>463</v>
      </c>
      <c r="R10">
        <v>2371</v>
      </c>
      <c r="S10">
        <v>2377</v>
      </c>
      <c r="T10">
        <v>2381</v>
      </c>
      <c r="U10">
        <v>2383</v>
      </c>
      <c r="V10">
        <v>2389</v>
      </c>
      <c r="W10">
        <v>2393</v>
      </c>
    </row>
    <row r="11" spans="1:23">
      <c r="A11" t="s">
        <v>3</v>
      </c>
      <c r="B11">
        <f ca="1">MOD(PRODUCT(E6:E10),F13)</f>
        <v>3778</v>
      </c>
      <c r="F11">
        <v>1103515245</v>
      </c>
      <c r="G11">
        <v>10</v>
      </c>
      <c r="H11">
        <v>467</v>
      </c>
      <c r="I11">
        <v>479</v>
      </c>
      <c r="J11">
        <v>487</v>
      </c>
      <c r="K11">
        <v>491</v>
      </c>
      <c r="L11">
        <v>499</v>
      </c>
      <c r="M11">
        <v>503</v>
      </c>
      <c r="N11">
        <v>509</v>
      </c>
      <c r="O11">
        <v>521</v>
      </c>
      <c r="P11">
        <v>523</v>
      </c>
      <c r="Q11">
        <v>541</v>
      </c>
      <c r="R11">
        <v>2437</v>
      </c>
      <c r="S11">
        <v>2441</v>
      </c>
      <c r="T11">
        <v>2447</v>
      </c>
      <c r="U11">
        <v>2459</v>
      </c>
      <c r="V11">
        <v>2467</v>
      </c>
      <c r="W11">
        <v>2473</v>
      </c>
    </row>
    <row r="12" spans="1:23">
      <c r="A12" t="s">
        <v>4</v>
      </c>
      <c r="B12">
        <f ca="1">MOD(B11*F11+F12,F13)</f>
        <v>5331</v>
      </c>
      <c r="C12">
        <f ca="1">MOD(B12,2)</f>
        <v>1</v>
      </c>
      <c r="D12">
        <f ca="1">B12/F$13</f>
        <v>0.162689208984375</v>
      </c>
      <c r="E12">
        <f ca="1">IF(D12&lt;0.25,0,IF(D12&lt;0.5,1,IF(D12&lt;0.75,3,4)))</f>
        <v>0</v>
      </c>
      <c r="F12">
        <v>12345</v>
      </c>
      <c r="G12">
        <v>11</v>
      </c>
      <c r="H12">
        <v>547</v>
      </c>
      <c r="I12">
        <v>557</v>
      </c>
      <c r="J12">
        <v>563</v>
      </c>
      <c r="K12">
        <v>569</v>
      </c>
      <c r="L12">
        <v>571</v>
      </c>
      <c r="M12">
        <v>577</v>
      </c>
      <c r="N12">
        <v>587</v>
      </c>
      <c r="O12">
        <v>593</v>
      </c>
      <c r="P12">
        <v>599</v>
      </c>
      <c r="Q12">
        <v>601</v>
      </c>
      <c r="R12">
        <v>2539</v>
      </c>
      <c r="S12">
        <v>2543</v>
      </c>
      <c r="T12">
        <v>2549</v>
      </c>
      <c r="U12">
        <v>2551</v>
      </c>
      <c r="V12">
        <v>2557</v>
      </c>
      <c r="W12">
        <v>2579</v>
      </c>
    </row>
    <row r="13" spans="1:23">
      <c r="A13" t="s">
        <v>5</v>
      </c>
      <c r="B13" s="2">
        <f t="shared" ref="B13:B33" ca="1" si="3">MOD(B12*F$11+F$12,F$13)</f>
        <v>22544</v>
      </c>
      <c r="C13">
        <f t="shared" ref="C13:C33" ca="1" si="4">IF(D13&lt;0.5,0,1)</f>
        <v>1</v>
      </c>
      <c r="D13">
        <f t="shared" ref="D13:D33" ca="1" si="5">B13/F$13</f>
        <v>0.68798828125</v>
      </c>
      <c r="E13">
        <f t="shared" ref="E13:E33" ca="1" si="6">IF(D13&lt;0.25,0,IF(D13&lt;0.5,1,IF(D13&lt;0.75,3,4)))</f>
        <v>3</v>
      </c>
      <c r="F13">
        <v>32768</v>
      </c>
      <c r="G13">
        <v>12</v>
      </c>
      <c r="H13">
        <v>607</v>
      </c>
      <c r="I13">
        <v>613</v>
      </c>
      <c r="J13">
        <v>617</v>
      </c>
      <c r="K13">
        <v>619</v>
      </c>
      <c r="L13">
        <v>631</v>
      </c>
      <c r="M13">
        <v>641</v>
      </c>
      <c r="N13">
        <v>643</v>
      </c>
      <c r="O13">
        <v>647</v>
      </c>
      <c r="P13">
        <v>653</v>
      </c>
      <c r="Q13">
        <v>659</v>
      </c>
      <c r="R13">
        <v>2621</v>
      </c>
      <c r="S13">
        <v>2633</v>
      </c>
      <c r="T13">
        <v>2647</v>
      </c>
      <c r="U13">
        <v>2657</v>
      </c>
      <c r="V13">
        <v>2659</v>
      </c>
      <c r="W13">
        <v>2663</v>
      </c>
    </row>
    <row r="14" spans="1:23">
      <c r="A14" t="s">
        <v>6</v>
      </c>
      <c r="B14" s="2">
        <f t="shared" ca="1" si="3"/>
        <v>3849</v>
      </c>
      <c r="C14">
        <f t="shared" ca="1" si="4"/>
        <v>0</v>
      </c>
      <c r="D14">
        <f t="shared" ca="1" si="5"/>
        <v>0.117462158203125</v>
      </c>
      <c r="E14">
        <f t="shared" ca="1" si="6"/>
        <v>0</v>
      </c>
      <c r="G14">
        <v>13</v>
      </c>
      <c r="H14">
        <v>661</v>
      </c>
      <c r="I14">
        <v>673</v>
      </c>
      <c r="J14">
        <v>677</v>
      </c>
      <c r="K14">
        <v>683</v>
      </c>
      <c r="L14">
        <v>691</v>
      </c>
      <c r="M14">
        <v>701</v>
      </c>
      <c r="N14">
        <v>709</v>
      </c>
      <c r="O14">
        <v>719</v>
      </c>
      <c r="P14">
        <v>727</v>
      </c>
      <c r="Q14">
        <v>733</v>
      </c>
      <c r="R14">
        <v>2689</v>
      </c>
      <c r="S14">
        <v>2693</v>
      </c>
      <c r="T14">
        <v>2699</v>
      </c>
      <c r="U14">
        <v>2707</v>
      </c>
      <c r="V14">
        <v>2711</v>
      </c>
      <c r="W14">
        <v>2713</v>
      </c>
    </row>
    <row r="15" spans="1:23">
      <c r="A15" t="s">
        <v>7</v>
      </c>
      <c r="B15" s="2">
        <f t="shared" ca="1" si="3"/>
        <v>21774</v>
      </c>
      <c r="C15">
        <f t="shared" ca="1" si="4"/>
        <v>1</v>
      </c>
      <c r="D15">
        <f t="shared" ca="1" si="5"/>
        <v>0.66448974609375</v>
      </c>
      <c r="E15">
        <f t="shared" ca="1" si="6"/>
        <v>3</v>
      </c>
      <c r="G15">
        <v>14</v>
      </c>
      <c r="H15">
        <v>739</v>
      </c>
      <c r="I15">
        <v>743</v>
      </c>
      <c r="J15">
        <v>751</v>
      </c>
      <c r="K15">
        <v>757</v>
      </c>
      <c r="L15">
        <v>761</v>
      </c>
      <c r="M15">
        <v>769</v>
      </c>
      <c r="N15">
        <v>773</v>
      </c>
      <c r="O15">
        <v>787</v>
      </c>
      <c r="P15">
        <v>797</v>
      </c>
      <c r="Q15">
        <v>809</v>
      </c>
      <c r="R15">
        <v>2749</v>
      </c>
      <c r="S15">
        <v>2753</v>
      </c>
      <c r="T15">
        <v>2767</v>
      </c>
      <c r="U15">
        <v>2777</v>
      </c>
      <c r="V15">
        <v>2789</v>
      </c>
      <c r="W15">
        <v>2791</v>
      </c>
    </row>
    <row r="16" spans="1:23">
      <c r="A16" t="s">
        <v>8</v>
      </c>
      <c r="B16" s="2">
        <f t="shared" ca="1" si="3"/>
        <v>11055</v>
      </c>
      <c r="C16">
        <f t="shared" ca="1" si="4"/>
        <v>0</v>
      </c>
      <c r="D16">
        <f t="shared" ca="1" si="5"/>
        <v>0.337371826171875</v>
      </c>
      <c r="E16">
        <f t="shared" ca="1" si="6"/>
        <v>1</v>
      </c>
      <c r="G16">
        <v>15</v>
      </c>
      <c r="H16">
        <v>811</v>
      </c>
      <c r="I16">
        <v>821</v>
      </c>
      <c r="J16">
        <v>823</v>
      </c>
      <c r="K16">
        <v>827</v>
      </c>
      <c r="L16">
        <v>829</v>
      </c>
      <c r="M16">
        <v>839</v>
      </c>
      <c r="N16">
        <v>853</v>
      </c>
      <c r="O16">
        <v>857</v>
      </c>
      <c r="P16">
        <v>859</v>
      </c>
      <c r="Q16">
        <v>863</v>
      </c>
      <c r="R16">
        <v>2833</v>
      </c>
      <c r="S16">
        <v>2837</v>
      </c>
      <c r="T16">
        <v>2843</v>
      </c>
      <c r="U16">
        <v>2851</v>
      </c>
      <c r="V16">
        <v>2857</v>
      </c>
      <c r="W16">
        <v>2861</v>
      </c>
    </row>
    <row r="17" spans="1:23">
      <c r="A17" t="s">
        <v>9</v>
      </c>
      <c r="B17" s="2">
        <f t="shared" ca="1" si="3"/>
        <v>25916</v>
      </c>
      <c r="C17">
        <f t="shared" ca="1" si="4"/>
        <v>1</v>
      </c>
      <c r="D17">
        <f t="shared" ca="1" si="5"/>
        <v>0.7908935546875</v>
      </c>
      <c r="E17">
        <f t="shared" ca="1" si="6"/>
        <v>4</v>
      </c>
      <c r="G17">
        <v>16</v>
      </c>
      <c r="H17">
        <v>877</v>
      </c>
      <c r="I17">
        <v>881</v>
      </c>
      <c r="J17">
        <v>883</v>
      </c>
      <c r="K17">
        <v>887</v>
      </c>
      <c r="L17">
        <v>907</v>
      </c>
      <c r="M17">
        <v>911</v>
      </c>
      <c r="N17">
        <v>919</v>
      </c>
      <c r="O17">
        <v>929</v>
      </c>
      <c r="P17">
        <v>937</v>
      </c>
      <c r="Q17">
        <v>941</v>
      </c>
      <c r="R17">
        <v>2909</v>
      </c>
      <c r="S17">
        <v>2917</v>
      </c>
      <c r="T17">
        <v>2927</v>
      </c>
      <c r="U17">
        <v>2939</v>
      </c>
      <c r="V17">
        <v>2953</v>
      </c>
      <c r="W17">
        <v>2957</v>
      </c>
    </row>
    <row r="18" spans="1:23">
      <c r="A18" t="s">
        <v>10</v>
      </c>
      <c r="B18" s="2">
        <f t="shared" ca="1" si="3"/>
        <v>4805</v>
      </c>
      <c r="C18">
        <f t="shared" ca="1" si="4"/>
        <v>0</v>
      </c>
      <c r="D18">
        <f t="shared" ca="1" si="5"/>
        <v>0.146636962890625</v>
      </c>
      <c r="E18">
        <f t="shared" ca="1" si="6"/>
        <v>0</v>
      </c>
    </row>
    <row r="19" spans="1:23">
      <c r="A19" t="s">
        <v>11</v>
      </c>
      <c r="B19" s="2">
        <f t="shared" ca="1" si="3"/>
        <v>13338</v>
      </c>
      <c r="C19">
        <f t="shared" ca="1" si="4"/>
        <v>0</v>
      </c>
      <c r="D19">
        <f t="shared" ca="1" si="5"/>
        <v>0.40704345703125</v>
      </c>
      <c r="E19">
        <f t="shared" ca="1" si="6"/>
        <v>1</v>
      </c>
    </row>
    <row r="20" spans="1:23">
      <c r="A20" t="s">
        <v>12</v>
      </c>
      <c r="B20" s="2">
        <f t="shared" ca="1" si="3"/>
        <v>19275</v>
      </c>
      <c r="C20">
        <f t="shared" ca="1" si="4"/>
        <v>1</v>
      </c>
      <c r="D20">
        <f t="shared" ca="1" si="5"/>
        <v>0.588226318359375</v>
      </c>
      <c r="E20">
        <f t="shared" ca="1" si="6"/>
        <v>3</v>
      </c>
    </row>
    <row r="21" spans="1:23">
      <c r="A21" t="s">
        <v>13</v>
      </c>
      <c r="B21" s="2">
        <f t="shared" ca="1" si="3"/>
        <v>6440</v>
      </c>
      <c r="C21">
        <f t="shared" ca="1" si="4"/>
        <v>0</v>
      </c>
      <c r="D21">
        <f t="shared" ca="1" si="5"/>
        <v>0.196533203125</v>
      </c>
      <c r="E21">
        <f t="shared" ca="1" si="6"/>
        <v>0</v>
      </c>
    </row>
    <row r="22" spans="1:23">
      <c r="A22" t="s">
        <v>14</v>
      </c>
      <c r="B22" s="2">
        <f t="shared" ca="1" si="3"/>
        <v>5697</v>
      </c>
      <c r="C22">
        <f t="shared" ca="1" si="4"/>
        <v>0</v>
      </c>
      <c r="D22">
        <f t="shared" ca="1" si="5"/>
        <v>0.173858642578125</v>
      </c>
      <c r="E22">
        <f t="shared" ca="1" si="6"/>
        <v>0</v>
      </c>
      <c r="M22" s="2"/>
    </row>
    <row r="23" spans="1:23">
      <c r="A23" t="s">
        <v>15</v>
      </c>
      <c r="B23" s="2">
        <f t="shared" ca="1" si="3"/>
        <v>30694</v>
      </c>
      <c r="C23">
        <f t="shared" ca="1" si="4"/>
        <v>1</v>
      </c>
      <c r="D23">
        <f t="shared" ca="1" si="5"/>
        <v>0.93670654296875</v>
      </c>
      <c r="E23">
        <f t="shared" ca="1" si="6"/>
        <v>4</v>
      </c>
      <c r="M23" s="2"/>
    </row>
    <row r="24" spans="1:23">
      <c r="A24" t="s">
        <v>16</v>
      </c>
      <c r="B24" s="2">
        <f t="shared" ca="1" si="3"/>
        <v>20775</v>
      </c>
      <c r="C24">
        <f t="shared" ca="1" si="4"/>
        <v>1</v>
      </c>
      <c r="D24">
        <f t="shared" ca="1" si="5"/>
        <v>0.634002685546875</v>
      </c>
      <c r="E24">
        <f t="shared" ca="1" si="6"/>
        <v>3</v>
      </c>
      <c r="M24" s="2"/>
    </row>
    <row r="25" spans="1:23">
      <c r="A25" t="s">
        <v>17</v>
      </c>
      <c r="B25" s="2">
        <f t="shared" ca="1" si="3"/>
        <v>8148</v>
      </c>
      <c r="C25">
        <f t="shared" ca="1" si="4"/>
        <v>0</v>
      </c>
      <c r="D25">
        <f t="shared" ca="1" si="5"/>
        <v>0.2486572265625</v>
      </c>
      <c r="E25">
        <f t="shared" ca="1" si="6"/>
        <v>0</v>
      </c>
      <c r="M25" s="2"/>
    </row>
    <row r="26" spans="1:23">
      <c r="A26" t="s">
        <v>18</v>
      </c>
      <c r="B26" s="2">
        <f t="shared" ca="1" si="3"/>
        <v>21885</v>
      </c>
      <c r="C26">
        <f t="shared" ca="1" si="4"/>
        <v>1</v>
      </c>
      <c r="D26">
        <f t="shared" ca="1" si="5"/>
        <v>0.667877197265625</v>
      </c>
      <c r="E26">
        <f t="shared" ca="1" si="6"/>
        <v>3</v>
      </c>
      <c r="M26" s="2"/>
    </row>
    <row r="27" spans="1:23">
      <c r="A27" t="s">
        <v>19</v>
      </c>
      <c r="B27" s="2">
        <f t="shared" ca="1" si="3"/>
        <v>11378</v>
      </c>
      <c r="C27">
        <f t="shared" ca="1" si="4"/>
        <v>0</v>
      </c>
      <c r="D27">
        <f t="shared" ca="1" si="5"/>
        <v>0.34722900390625</v>
      </c>
      <c r="E27">
        <f t="shared" ca="1" si="6"/>
        <v>1</v>
      </c>
      <c r="M27" s="2"/>
    </row>
    <row r="28" spans="1:23">
      <c r="A28" t="s">
        <v>20</v>
      </c>
      <c r="B28" s="2">
        <f t="shared" ca="1" si="3"/>
        <v>22723</v>
      </c>
      <c r="C28">
        <f t="shared" ca="1" si="4"/>
        <v>1</v>
      </c>
      <c r="D28">
        <f t="shared" ca="1" si="5"/>
        <v>0.693450927734375</v>
      </c>
      <c r="E28">
        <f t="shared" ca="1" si="6"/>
        <v>3</v>
      </c>
      <c r="M28" s="2"/>
    </row>
    <row r="29" spans="1:23">
      <c r="A29" t="s">
        <v>21</v>
      </c>
      <c r="B29" s="2">
        <f t="shared" ca="1" si="3"/>
        <v>25920</v>
      </c>
      <c r="C29">
        <f t="shared" ca="1" si="4"/>
        <v>1</v>
      </c>
      <c r="D29">
        <f t="shared" ca="1" si="5"/>
        <v>0.791015625</v>
      </c>
      <c r="E29">
        <f t="shared" ca="1" si="6"/>
        <v>4</v>
      </c>
      <c r="M29" s="2"/>
    </row>
    <row r="30" spans="1:23">
      <c r="A30" t="s">
        <v>22</v>
      </c>
      <c r="B30" s="2">
        <f t="shared" ca="1" si="3"/>
        <v>19577</v>
      </c>
      <c r="C30">
        <f t="shared" ca="1" si="4"/>
        <v>1</v>
      </c>
      <c r="D30">
        <f t="shared" ca="1" si="5"/>
        <v>0.597442626953125</v>
      </c>
      <c r="E30">
        <f t="shared" ca="1" si="6"/>
        <v>3</v>
      </c>
      <c r="M30" s="2"/>
    </row>
    <row r="31" spans="1:23">
      <c r="A31" t="s">
        <v>23</v>
      </c>
      <c r="B31" s="2">
        <f t="shared" ca="1" si="3"/>
        <v>7614</v>
      </c>
      <c r="C31">
        <f t="shared" ca="1" si="4"/>
        <v>0</v>
      </c>
      <c r="D31">
        <f t="shared" ca="1" si="5"/>
        <v>0.23236083984375</v>
      </c>
      <c r="E31">
        <f t="shared" ca="1" si="6"/>
        <v>0</v>
      </c>
      <c r="M31" s="2"/>
    </row>
    <row r="32" spans="1:23">
      <c r="A32" t="s">
        <v>24</v>
      </c>
      <c r="B32" s="2">
        <f t="shared" ca="1" si="3"/>
        <v>15903</v>
      </c>
      <c r="C32">
        <f t="shared" ca="1" si="4"/>
        <v>0</v>
      </c>
      <c r="D32">
        <f t="shared" ca="1" si="5"/>
        <v>0.485321044921875</v>
      </c>
      <c r="E32">
        <f t="shared" ca="1" si="6"/>
        <v>1</v>
      </c>
      <c r="M32" s="2"/>
    </row>
    <row r="33" spans="1:13">
      <c r="A33" t="s">
        <v>25</v>
      </c>
      <c r="B33" s="2">
        <f t="shared" ca="1" si="3"/>
        <v>5484</v>
      </c>
      <c r="C33">
        <f t="shared" ca="1" si="4"/>
        <v>0</v>
      </c>
      <c r="D33">
        <f t="shared" ca="1" si="5"/>
        <v>0.1673583984375</v>
      </c>
      <c r="E33">
        <f t="shared" ca="1" si="6"/>
        <v>0</v>
      </c>
      <c r="M33" s="2"/>
    </row>
    <row r="34" spans="1:13">
      <c r="M34" s="2"/>
    </row>
    <row r="35" spans="1:13">
      <c r="M35" s="2"/>
    </row>
    <row r="36" spans="1:13">
      <c r="M36" s="2"/>
    </row>
    <row r="37" spans="1:13">
      <c r="M37" s="2"/>
    </row>
    <row r="38" spans="1:13">
      <c r="M38" s="2"/>
    </row>
    <row r="39" spans="1:13">
      <c r="M39" s="2"/>
    </row>
    <row r="40" spans="1:13">
      <c r="M40" s="2"/>
    </row>
    <row r="41" spans="1:13">
      <c r="M41" s="2"/>
    </row>
    <row r="42" spans="1:13">
      <c r="M42" s="2"/>
    </row>
    <row r="43" spans="1:13">
      <c r="M43" s="2"/>
    </row>
    <row r="44" spans="1:13">
      <c r="M44" s="2"/>
    </row>
    <row r="45" spans="1:13">
      <c r="M45" s="2"/>
    </row>
  </sheetData>
  <customSheetViews>
    <customSheetView guid="{86163F03-5311-4FD3-9F34-A891F9AC9F16}" scale="130" state="hidden" topLeftCell="A21">
      <selection activeCell="F35" sqref="A1:XFD1048576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B824-3E06-4882-96D4-0DA92A742EAC}">
  <dimension ref="C6:H11"/>
  <sheetViews>
    <sheetView workbookViewId="0">
      <selection activeCell="K23" sqref="K23"/>
    </sheetView>
  </sheetViews>
  <sheetFormatPr defaultRowHeight="15"/>
  <sheetData>
    <row r="6" spans="3:8">
      <c r="C6" s="121" t="s">
        <v>77</v>
      </c>
      <c r="D6" s="121"/>
      <c r="E6" s="121"/>
      <c r="F6" s="121"/>
      <c r="G6" s="121"/>
      <c r="H6" s="121"/>
    </row>
    <row r="7" spans="3:8">
      <c r="C7" s="121"/>
      <c r="D7" s="121"/>
      <c r="E7" s="121"/>
      <c r="F7" s="121"/>
      <c r="G7" s="121"/>
      <c r="H7" s="121"/>
    </row>
    <row r="8" spans="3:8">
      <c r="C8" s="121"/>
      <c r="D8" s="121"/>
      <c r="E8" s="121"/>
      <c r="F8" s="121"/>
      <c r="G8" s="121"/>
      <c r="H8" s="121"/>
    </row>
    <row r="9" spans="3:8">
      <c r="C9" s="121"/>
      <c r="D9" s="121"/>
      <c r="E9" s="121"/>
      <c r="F9" s="121"/>
      <c r="G9" s="121"/>
      <c r="H9" s="121"/>
    </row>
    <row r="10" spans="3:8">
      <c r="C10" s="121"/>
      <c r="D10" s="121"/>
      <c r="E10" s="121"/>
      <c r="F10" s="121"/>
      <c r="G10" s="121"/>
      <c r="H10" s="121"/>
    </row>
    <row r="11" spans="3:8">
      <c r="C11" s="121"/>
      <c r="D11" s="121"/>
      <c r="E11" s="121"/>
      <c r="F11" s="121"/>
      <c r="G11" s="121"/>
      <c r="H11" s="121"/>
    </row>
  </sheetData>
  <customSheetViews>
    <customSheetView guid="{86163F03-5311-4FD3-9F34-A891F9AC9F16}" state="hidden">
      <selection activeCell="K23" sqref="K23"/>
      <pageMargins left="0.7" right="0.7" top="0.75" bottom="0.75" header="0.3" footer="0.3"/>
      <pageSetup orientation="portrait" r:id="rId1"/>
    </customSheetView>
  </customSheetViews>
  <mergeCells count="1">
    <mergeCell ref="C6:H11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Constant Change</vt:lpstr>
      <vt:lpstr>Users</vt:lpstr>
      <vt:lpstr>Constant Percent Change</vt:lpstr>
      <vt:lpstr>Puzzle 1</vt:lpstr>
      <vt:lpstr>Puzzle 2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Ketchersid</dc:creator>
  <cp:lastModifiedBy>Richard Ketchersid</cp:lastModifiedBy>
  <dcterms:created xsi:type="dcterms:W3CDTF">2020-09-21T00:51:26Z</dcterms:created>
  <dcterms:modified xsi:type="dcterms:W3CDTF">2026-08-26T17:40:13Z</dcterms:modified>
</cp:coreProperties>
</file>