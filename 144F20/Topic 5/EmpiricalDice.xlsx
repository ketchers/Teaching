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cumail-my.sharepoint.com/personal/richard_ketchersid_gcu_edu/Documents/Course Materials/144/Excel/"/>
    </mc:Choice>
  </mc:AlternateContent>
  <xr:revisionPtr revIDLastSave="361" documentId="8_{52051735-337A-4811-8495-ED6F422AD86C}" xr6:coauthVersionLast="47" xr6:coauthVersionMax="47" xr10:uidLastSave="{906FF0AF-D86D-4B25-9C10-858FEACDE382}"/>
  <bookViews>
    <workbookView xWindow="2895" yWindow="315" windowWidth="23280" windowHeight="15240" xr2:uid="{C1239779-01AA-4F4D-8A38-30C61C2125AB}"/>
  </bookViews>
  <sheets>
    <sheet name="Empirical" sheetId="1" r:id="rId1"/>
  </sheets>
  <definedNames>
    <definedName name="DATA">Empirical!$C$7:$C$1206</definedName>
    <definedName name="dice">_xlfn.LAMBDA(_xlpm.s,_xlpm.N,IF(_xlpm.N=1,RANDBETWEEN(1,_xlpm.s),RANDBETWEEN(1,_xlpm.s)+dice(_xlpm.s,_xlpm.N-1)))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M3" i="1"/>
  <c r="N3" i="1" s="1"/>
  <c r="C7" i="1" a="1"/>
  <c r="C7" i="1" s="1"/>
  <c r="B8" i="1"/>
  <c r="C8" i="1" s="1" a="1"/>
  <c r="C8" i="1" s="1"/>
  <c r="B9" i="1" l="1"/>
  <c r="B10" i="1" l="1"/>
  <c r="C9" i="1" a="1"/>
  <c r="C9" i="1" s="1"/>
  <c r="L3" i="1"/>
  <c r="K3" i="1"/>
  <c r="J3" i="1"/>
  <c r="B11" i="1" l="1"/>
  <c r="C10" i="1" a="1"/>
  <c r="C10" i="1" s="1"/>
  <c r="B12" i="1" l="1"/>
  <c r="C11" i="1" a="1"/>
  <c r="C11" i="1" s="1"/>
  <c r="B13" i="1" l="1"/>
  <c r="C12" i="1" a="1"/>
  <c r="C12" i="1" s="1"/>
  <c r="B14" i="1" l="1"/>
  <c r="C13" i="1" a="1"/>
  <c r="C13" i="1" s="1"/>
  <c r="B15" i="1" l="1"/>
  <c r="C14" i="1" a="1"/>
  <c r="C14" i="1" s="1"/>
  <c r="B16" i="1" l="1"/>
  <c r="C15" i="1" a="1"/>
  <c r="C15" i="1" s="1"/>
  <c r="B17" i="1" l="1"/>
  <c r="C16" i="1" a="1"/>
  <c r="C16" i="1" s="1"/>
  <c r="B18" i="1" l="1"/>
  <c r="C17" i="1" a="1"/>
  <c r="C17" i="1" s="1"/>
  <c r="B19" i="1" l="1"/>
  <c r="C18" i="1" a="1"/>
  <c r="C18" i="1" s="1"/>
  <c r="B20" i="1" l="1"/>
  <c r="C19" i="1" a="1"/>
  <c r="C19" i="1" s="1"/>
  <c r="B21" i="1" l="1"/>
  <c r="C20" i="1" a="1"/>
  <c r="C20" i="1" s="1"/>
  <c r="B22" i="1" l="1"/>
  <c r="C21" i="1" a="1"/>
  <c r="C21" i="1" s="1"/>
  <c r="B23" i="1" l="1"/>
  <c r="C22" i="1" a="1"/>
  <c r="C22" i="1" s="1"/>
  <c r="B24" i="1" l="1"/>
  <c r="C23" i="1" a="1"/>
  <c r="C23" i="1" s="1"/>
  <c r="B25" i="1" l="1"/>
  <c r="C24" i="1" a="1"/>
  <c r="C24" i="1" s="1"/>
  <c r="B26" i="1" l="1"/>
  <c r="C25" i="1" a="1"/>
  <c r="C25" i="1" s="1"/>
  <c r="B27" i="1" l="1"/>
  <c r="C26" i="1" a="1"/>
  <c r="C26" i="1" s="1"/>
  <c r="B28" i="1" l="1"/>
  <c r="C27" i="1" a="1"/>
  <c r="C27" i="1" s="1"/>
  <c r="B29" i="1" l="1"/>
  <c r="C28" i="1" a="1"/>
  <c r="C28" i="1" s="1"/>
  <c r="B30" i="1" l="1"/>
  <c r="C29" i="1" a="1"/>
  <c r="C29" i="1" s="1"/>
  <c r="B31" i="1" l="1"/>
  <c r="C30" i="1" a="1"/>
  <c r="C30" i="1" s="1"/>
  <c r="B32" i="1" l="1"/>
  <c r="C31" i="1" a="1"/>
  <c r="C31" i="1" s="1"/>
  <c r="B33" i="1" l="1"/>
  <c r="C32" i="1" a="1"/>
  <c r="C32" i="1" s="1"/>
  <c r="B34" i="1" l="1"/>
  <c r="C33" i="1" a="1"/>
  <c r="C33" i="1" s="1"/>
  <c r="B35" i="1" l="1"/>
  <c r="C34" i="1" a="1"/>
  <c r="C34" i="1" s="1"/>
  <c r="B36" i="1" l="1"/>
  <c r="C35" i="1" a="1"/>
  <c r="C35" i="1" s="1"/>
  <c r="B37" i="1" l="1"/>
  <c r="C36" i="1" a="1"/>
  <c r="C36" i="1" s="1"/>
  <c r="B38" i="1" l="1"/>
  <c r="C37" i="1" a="1"/>
  <c r="C37" i="1" s="1"/>
  <c r="B39" i="1" l="1"/>
  <c r="C38" i="1" a="1"/>
  <c r="C38" i="1" s="1"/>
  <c r="B40" i="1" l="1"/>
  <c r="C39" i="1" a="1"/>
  <c r="C39" i="1" s="1"/>
  <c r="B41" i="1" l="1"/>
  <c r="C40" i="1" a="1"/>
  <c r="C40" i="1" s="1"/>
  <c r="B42" i="1" l="1"/>
  <c r="C41" i="1" a="1"/>
  <c r="C41" i="1" s="1"/>
  <c r="B43" i="1" l="1"/>
  <c r="C42" i="1" a="1"/>
  <c r="C42" i="1" s="1"/>
  <c r="B44" i="1" l="1"/>
  <c r="C43" i="1" a="1"/>
  <c r="C43" i="1" s="1"/>
  <c r="B45" i="1" l="1"/>
  <c r="C44" i="1" a="1"/>
  <c r="C44" i="1" s="1"/>
  <c r="B46" i="1" l="1"/>
  <c r="C45" i="1" a="1"/>
  <c r="C45" i="1" s="1"/>
  <c r="B47" i="1" l="1"/>
  <c r="C46" i="1" a="1"/>
  <c r="C46" i="1" s="1"/>
  <c r="B48" i="1" l="1"/>
  <c r="C47" i="1" a="1"/>
  <c r="C47" i="1" s="1"/>
  <c r="B49" i="1" l="1"/>
  <c r="C48" i="1" a="1"/>
  <c r="C48" i="1" s="1"/>
  <c r="B50" i="1" l="1"/>
  <c r="C49" i="1" a="1"/>
  <c r="C49" i="1" s="1"/>
  <c r="B51" i="1" l="1"/>
  <c r="C50" i="1" a="1"/>
  <c r="C50" i="1" s="1"/>
  <c r="B52" i="1" l="1"/>
  <c r="C51" i="1" a="1"/>
  <c r="C51" i="1" s="1"/>
  <c r="B53" i="1" l="1"/>
  <c r="C52" i="1" a="1"/>
  <c r="C52" i="1" s="1"/>
  <c r="B54" i="1" l="1"/>
  <c r="C53" i="1" a="1"/>
  <c r="C53" i="1" s="1"/>
  <c r="B55" i="1" l="1"/>
  <c r="C54" i="1" a="1"/>
  <c r="C54" i="1" s="1"/>
  <c r="B56" i="1" l="1"/>
  <c r="C55" i="1" a="1"/>
  <c r="C55" i="1" s="1"/>
  <c r="B57" i="1" l="1"/>
  <c r="C56" i="1" a="1"/>
  <c r="C56" i="1" s="1"/>
  <c r="B58" i="1" l="1"/>
  <c r="C57" i="1" a="1"/>
  <c r="C57" i="1" s="1"/>
  <c r="B59" i="1" l="1"/>
  <c r="C58" i="1" a="1"/>
  <c r="C58" i="1" s="1"/>
  <c r="B60" i="1" l="1"/>
  <c r="C59" i="1" a="1"/>
  <c r="C59" i="1" s="1"/>
  <c r="B61" i="1" l="1"/>
  <c r="C60" i="1" a="1"/>
  <c r="C60" i="1" s="1"/>
  <c r="B62" i="1" l="1"/>
  <c r="C61" i="1" a="1"/>
  <c r="C61" i="1" s="1"/>
  <c r="B63" i="1" l="1"/>
  <c r="C62" i="1" a="1"/>
  <c r="C62" i="1" s="1"/>
  <c r="B64" i="1" l="1"/>
  <c r="C63" i="1" a="1"/>
  <c r="C63" i="1" s="1"/>
  <c r="B65" i="1" l="1"/>
  <c r="C64" i="1" a="1"/>
  <c r="C64" i="1" s="1"/>
  <c r="B66" i="1" l="1"/>
  <c r="C65" i="1" a="1"/>
  <c r="C65" i="1" s="1"/>
  <c r="B67" i="1" l="1"/>
  <c r="C66" i="1" a="1"/>
  <c r="C66" i="1" s="1"/>
  <c r="B68" i="1" l="1"/>
  <c r="C67" i="1" a="1"/>
  <c r="C67" i="1" s="1"/>
  <c r="B69" i="1" l="1"/>
  <c r="C68" i="1" a="1"/>
  <c r="C68" i="1" s="1"/>
  <c r="B70" i="1" l="1"/>
  <c r="C69" i="1" a="1"/>
  <c r="C69" i="1" s="1"/>
  <c r="B71" i="1" l="1"/>
  <c r="C70" i="1" a="1"/>
  <c r="C70" i="1" s="1"/>
  <c r="B72" i="1" l="1"/>
  <c r="C71" i="1" a="1"/>
  <c r="C71" i="1" s="1"/>
  <c r="B73" i="1" l="1"/>
  <c r="C72" i="1" a="1"/>
  <c r="C72" i="1" s="1"/>
  <c r="B74" i="1" l="1"/>
  <c r="C73" i="1" a="1"/>
  <c r="C73" i="1" s="1"/>
  <c r="B75" i="1" l="1"/>
  <c r="C74" i="1" a="1"/>
  <c r="C74" i="1" s="1"/>
  <c r="B76" i="1" l="1"/>
  <c r="C75" i="1" a="1"/>
  <c r="C75" i="1" s="1"/>
  <c r="B77" i="1" l="1"/>
  <c r="C76" i="1" a="1"/>
  <c r="C76" i="1" s="1"/>
  <c r="B78" i="1" l="1"/>
  <c r="C77" i="1" a="1"/>
  <c r="C77" i="1" s="1"/>
  <c r="B79" i="1" l="1"/>
  <c r="C78" i="1" a="1"/>
  <c r="C78" i="1" s="1"/>
  <c r="B80" i="1" l="1"/>
  <c r="C79" i="1" a="1"/>
  <c r="C79" i="1" s="1"/>
  <c r="B81" i="1" l="1"/>
  <c r="C80" i="1" a="1"/>
  <c r="C80" i="1" s="1"/>
  <c r="B82" i="1" l="1"/>
  <c r="C81" i="1" a="1"/>
  <c r="C81" i="1" s="1"/>
  <c r="B83" i="1" l="1"/>
  <c r="C82" i="1" a="1"/>
  <c r="C82" i="1" s="1"/>
  <c r="B84" i="1" l="1"/>
  <c r="C83" i="1" a="1"/>
  <c r="C83" i="1" s="1"/>
  <c r="B85" i="1" l="1"/>
  <c r="C84" i="1" a="1"/>
  <c r="C84" i="1" s="1"/>
  <c r="B86" i="1" l="1"/>
  <c r="C85" i="1" a="1"/>
  <c r="C85" i="1" s="1"/>
  <c r="B87" i="1" l="1"/>
  <c r="C86" i="1" a="1"/>
  <c r="C86" i="1" s="1"/>
  <c r="B88" i="1" l="1"/>
  <c r="C87" i="1" a="1"/>
  <c r="C87" i="1" s="1"/>
  <c r="B89" i="1" l="1"/>
  <c r="C88" i="1" a="1"/>
  <c r="C88" i="1" s="1"/>
  <c r="B90" i="1" l="1"/>
  <c r="C89" i="1" a="1"/>
  <c r="C89" i="1" s="1"/>
  <c r="B91" i="1" l="1"/>
  <c r="C90" i="1" a="1"/>
  <c r="C90" i="1" s="1"/>
  <c r="B92" i="1" l="1"/>
  <c r="C91" i="1" a="1"/>
  <c r="C91" i="1" s="1"/>
  <c r="B93" i="1" l="1"/>
  <c r="C92" i="1" a="1"/>
  <c r="C92" i="1" s="1"/>
  <c r="B94" i="1" l="1"/>
  <c r="C93" i="1" a="1"/>
  <c r="C93" i="1" s="1"/>
  <c r="B95" i="1" l="1"/>
  <c r="C94" i="1" a="1"/>
  <c r="C94" i="1" s="1"/>
  <c r="B96" i="1" l="1"/>
  <c r="C95" i="1" a="1"/>
  <c r="C95" i="1" s="1"/>
  <c r="B97" i="1" l="1"/>
  <c r="C96" i="1" a="1"/>
  <c r="C96" i="1" s="1"/>
  <c r="B98" i="1" l="1"/>
  <c r="C97" i="1" a="1"/>
  <c r="C97" i="1" s="1"/>
  <c r="B99" i="1" l="1"/>
  <c r="C98" i="1" a="1"/>
  <c r="C98" i="1" s="1"/>
  <c r="B100" i="1" l="1"/>
  <c r="C99" i="1" a="1"/>
  <c r="C99" i="1" s="1"/>
  <c r="B101" i="1" l="1"/>
  <c r="C100" i="1" a="1"/>
  <c r="C100" i="1" s="1"/>
  <c r="B102" i="1" l="1"/>
  <c r="C101" i="1" a="1"/>
  <c r="C101" i="1" s="1"/>
  <c r="B103" i="1" l="1"/>
  <c r="C102" i="1" a="1"/>
  <c r="C102" i="1" s="1"/>
  <c r="B104" i="1" l="1"/>
  <c r="C103" i="1" a="1"/>
  <c r="C103" i="1" s="1"/>
  <c r="B105" i="1" l="1"/>
  <c r="C104" i="1" a="1"/>
  <c r="C104" i="1" s="1"/>
  <c r="B106" i="1" l="1"/>
  <c r="C105" i="1" a="1"/>
  <c r="C105" i="1" s="1"/>
  <c r="B107" i="1" l="1"/>
  <c r="C106" i="1" a="1"/>
  <c r="C106" i="1" s="1"/>
  <c r="B108" i="1" l="1"/>
  <c r="C107" i="1" a="1"/>
  <c r="C107" i="1" s="1"/>
  <c r="B109" i="1" l="1"/>
  <c r="C108" i="1" a="1"/>
  <c r="C108" i="1" s="1"/>
  <c r="B110" i="1" l="1"/>
  <c r="C109" i="1" a="1"/>
  <c r="C109" i="1" s="1"/>
  <c r="B111" i="1" l="1"/>
  <c r="C110" i="1" a="1"/>
  <c r="C110" i="1" s="1"/>
  <c r="B112" i="1" l="1"/>
  <c r="C111" i="1" a="1"/>
  <c r="C111" i="1" s="1"/>
  <c r="B113" i="1" l="1"/>
  <c r="C112" i="1" a="1"/>
  <c r="C112" i="1" s="1"/>
  <c r="B114" i="1" l="1"/>
  <c r="C113" i="1" a="1"/>
  <c r="C113" i="1" s="1"/>
  <c r="B115" i="1" l="1"/>
  <c r="C114" i="1" a="1"/>
  <c r="C114" i="1" s="1"/>
  <c r="B116" i="1" l="1"/>
  <c r="C115" i="1" a="1"/>
  <c r="C115" i="1" s="1"/>
  <c r="B117" i="1" l="1"/>
  <c r="C116" i="1" a="1"/>
  <c r="C116" i="1" s="1"/>
  <c r="B118" i="1" l="1"/>
  <c r="C117" i="1" a="1"/>
  <c r="C117" i="1" s="1"/>
  <c r="B119" i="1" l="1"/>
  <c r="C118" i="1" a="1"/>
  <c r="C118" i="1" s="1"/>
  <c r="B120" i="1" l="1"/>
  <c r="C119" i="1" a="1"/>
  <c r="C119" i="1" s="1"/>
  <c r="B121" i="1" l="1"/>
  <c r="C120" i="1" a="1"/>
  <c r="C120" i="1" s="1"/>
  <c r="B122" i="1" l="1"/>
  <c r="C121" i="1" a="1"/>
  <c r="C121" i="1" s="1"/>
  <c r="B123" i="1" l="1"/>
  <c r="C122" i="1" a="1"/>
  <c r="C122" i="1" s="1"/>
  <c r="B124" i="1" l="1"/>
  <c r="C123" i="1" a="1"/>
  <c r="C123" i="1" s="1"/>
  <c r="B125" i="1" l="1"/>
  <c r="C124" i="1" a="1"/>
  <c r="C124" i="1" s="1"/>
  <c r="B126" i="1" l="1"/>
  <c r="C125" i="1" a="1"/>
  <c r="C125" i="1" s="1"/>
  <c r="B127" i="1" l="1"/>
  <c r="C126" i="1" a="1"/>
  <c r="C126" i="1" s="1"/>
  <c r="B128" i="1" l="1"/>
  <c r="C127" i="1" a="1"/>
  <c r="C127" i="1" s="1"/>
  <c r="B129" i="1" l="1"/>
  <c r="C128" i="1" a="1"/>
  <c r="C128" i="1" s="1"/>
  <c r="B130" i="1" l="1"/>
  <c r="C129" i="1" a="1"/>
  <c r="C129" i="1" s="1"/>
  <c r="B131" i="1" l="1"/>
  <c r="C130" i="1" a="1"/>
  <c r="C130" i="1" s="1"/>
  <c r="B132" i="1" l="1"/>
  <c r="C131" i="1" a="1"/>
  <c r="C131" i="1" s="1"/>
  <c r="B133" i="1" l="1"/>
  <c r="C132" i="1" a="1"/>
  <c r="C132" i="1" s="1"/>
  <c r="B134" i="1" l="1"/>
  <c r="C133" i="1" a="1"/>
  <c r="C133" i="1" s="1"/>
  <c r="B135" i="1" l="1"/>
  <c r="C134" i="1" a="1"/>
  <c r="C134" i="1" s="1"/>
  <c r="B136" i="1" l="1"/>
  <c r="C135" i="1" a="1"/>
  <c r="C135" i="1" s="1"/>
  <c r="B137" i="1" l="1"/>
  <c r="C136" i="1" a="1"/>
  <c r="C136" i="1" s="1"/>
  <c r="B138" i="1" l="1"/>
  <c r="C137" i="1" a="1"/>
  <c r="C137" i="1" s="1"/>
  <c r="B139" i="1" l="1"/>
  <c r="C138" i="1" a="1"/>
  <c r="C138" i="1" s="1"/>
  <c r="B140" i="1" l="1"/>
  <c r="C139" i="1" a="1"/>
  <c r="C139" i="1" s="1"/>
  <c r="B141" i="1" l="1"/>
  <c r="C140" i="1" a="1"/>
  <c r="C140" i="1" s="1"/>
  <c r="B142" i="1" l="1"/>
  <c r="C141" i="1" a="1"/>
  <c r="C141" i="1" s="1"/>
  <c r="B143" i="1" l="1"/>
  <c r="C142" i="1" a="1"/>
  <c r="C142" i="1" s="1"/>
  <c r="B144" i="1" l="1"/>
  <c r="C143" i="1" a="1"/>
  <c r="C143" i="1" s="1"/>
  <c r="B145" i="1" l="1"/>
  <c r="C144" i="1" a="1"/>
  <c r="C144" i="1" s="1"/>
  <c r="B146" i="1" l="1"/>
  <c r="C145" i="1" a="1"/>
  <c r="C145" i="1" s="1"/>
  <c r="B147" i="1" l="1"/>
  <c r="C146" i="1" a="1"/>
  <c r="C146" i="1" s="1"/>
  <c r="B148" i="1" l="1"/>
  <c r="C147" i="1" a="1"/>
  <c r="C147" i="1" s="1"/>
  <c r="B149" i="1" l="1"/>
  <c r="C148" i="1" a="1"/>
  <c r="C148" i="1" s="1"/>
  <c r="B150" i="1" l="1"/>
  <c r="C149" i="1" a="1"/>
  <c r="C149" i="1" s="1"/>
  <c r="B151" i="1" l="1"/>
  <c r="C150" i="1" a="1"/>
  <c r="C150" i="1" s="1"/>
  <c r="B152" i="1" l="1"/>
  <c r="C151" i="1" a="1"/>
  <c r="C151" i="1" s="1"/>
  <c r="B153" i="1" l="1"/>
  <c r="C152" i="1" a="1"/>
  <c r="C152" i="1" s="1"/>
  <c r="B154" i="1" l="1"/>
  <c r="C153" i="1" a="1"/>
  <c r="C153" i="1" s="1"/>
  <c r="B155" i="1" l="1"/>
  <c r="C154" i="1" a="1"/>
  <c r="C154" i="1" s="1"/>
  <c r="B156" i="1" l="1"/>
  <c r="C155" i="1" a="1"/>
  <c r="C155" i="1" s="1"/>
  <c r="B157" i="1" l="1"/>
  <c r="C156" i="1" a="1"/>
  <c r="C156" i="1" s="1"/>
  <c r="B158" i="1" l="1"/>
  <c r="C157" i="1" a="1"/>
  <c r="C157" i="1" s="1"/>
  <c r="B159" i="1" l="1"/>
  <c r="C158" i="1" a="1"/>
  <c r="C158" i="1" s="1"/>
  <c r="B160" i="1" l="1"/>
  <c r="C159" i="1" a="1"/>
  <c r="C159" i="1" s="1"/>
  <c r="B161" i="1" l="1"/>
  <c r="C160" i="1" a="1"/>
  <c r="C160" i="1" s="1"/>
  <c r="B162" i="1" l="1"/>
  <c r="C161" i="1" a="1"/>
  <c r="C161" i="1" s="1"/>
  <c r="B163" i="1" l="1"/>
  <c r="C162" i="1" a="1"/>
  <c r="C162" i="1" s="1"/>
  <c r="B164" i="1" l="1"/>
  <c r="C163" i="1" a="1"/>
  <c r="C163" i="1" s="1"/>
  <c r="B165" i="1" l="1"/>
  <c r="C164" i="1" a="1"/>
  <c r="C164" i="1" s="1"/>
  <c r="B166" i="1" l="1"/>
  <c r="C165" i="1" a="1"/>
  <c r="C165" i="1" s="1"/>
  <c r="B167" i="1" l="1"/>
  <c r="C166" i="1" a="1"/>
  <c r="C166" i="1" s="1"/>
  <c r="B168" i="1" l="1"/>
  <c r="C167" i="1" a="1"/>
  <c r="C167" i="1" s="1"/>
  <c r="B169" i="1" l="1"/>
  <c r="C168" i="1" a="1"/>
  <c r="C168" i="1" s="1"/>
  <c r="B170" i="1" l="1"/>
  <c r="C169" i="1" a="1"/>
  <c r="C169" i="1" s="1"/>
  <c r="B171" i="1" l="1"/>
  <c r="C170" i="1" a="1"/>
  <c r="C170" i="1" s="1"/>
  <c r="B172" i="1" l="1"/>
  <c r="C171" i="1" a="1"/>
  <c r="C171" i="1" s="1"/>
  <c r="B173" i="1" l="1"/>
  <c r="C172" i="1" a="1"/>
  <c r="C172" i="1" s="1"/>
  <c r="B174" i="1" l="1"/>
  <c r="C173" i="1" a="1"/>
  <c r="C173" i="1" s="1"/>
  <c r="B175" i="1" l="1"/>
  <c r="C174" i="1" a="1"/>
  <c r="C174" i="1" s="1"/>
  <c r="B176" i="1" l="1"/>
  <c r="C175" i="1" a="1"/>
  <c r="C175" i="1" s="1"/>
  <c r="B177" i="1" l="1"/>
  <c r="C176" i="1" a="1"/>
  <c r="C176" i="1" s="1"/>
  <c r="B178" i="1" l="1"/>
  <c r="C177" i="1" a="1"/>
  <c r="C177" i="1" s="1"/>
  <c r="B179" i="1" l="1"/>
  <c r="C178" i="1" a="1"/>
  <c r="C178" i="1" s="1"/>
  <c r="B180" i="1" l="1"/>
  <c r="C179" i="1" a="1"/>
  <c r="C179" i="1" s="1"/>
  <c r="B181" i="1" l="1"/>
  <c r="C180" i="1" a="1"/>
  <c r="C180" i="1" s="1"/>
  <c r="B182" i="1" l="1"/>
  <c r="C181" i="1" a="1"/>
  <c r="C181" i="1" s="1"/>
  <c r="B183" i="1" l="1"/>
  <c r="C182" i="1" a="1"/>
  <c r="C182" i="1" s="1"/>
  <c r="B184" i="1" l="1"/>
  <c r="C183" i="1" a="1"/>
  <c r="C183" i="1" s="1"/>
  <c r="B185" i="1" l="1"/>
  <c r="C184" i="1" a="1"/>
  <c r="C184" i="1" s="1"/>
  <c r="B186" i="1" l="1"/>
  <c r="C185" i="1" a="1"/>
  <c r="C185" i="1" s="1"/>
  <c r="B187" i="1" l="1"/>
  <c r="C186" i="1" a="1"/>
  <c r="C186" i="1" s="1"/>
  <c r="B188" i="1" l="1"/>
  <c r="C187" i="1" a="1"/>
  <c r="C187" i="1" s="1"/>
  <c r="B189" i="1" l="1"/>
  <c r="C188" i="1" a="1"/>
  <c r="C188" i="1" s="1"/>
  <c r="B190" i="1" l="1"/>
  <c r="C189" i="1" a="1"/>
  <c r="C189" i="1" s="1"/>
  <c r="B191" i="1" l="1"/>
  <c r="C190" i="1" a="1"/>
  <c r="C190" i="1" s="1"/>
  <c r="B192" i="1" l="1"/>
  <c r="C191" i="1" a="1"/>
  <c r="C191" i="1" s="1"/>
  <c r="B193" i="1" l="1"/>
  <c r="C192" i="1" a="1"/>
  <c r="C192" i="1" s="1"/>
  <c r="B194" i="1" l="1"/>
  <c r="C193" i="1" a="1"/>
  <c r="C193" i="1" s="1"/>
  <c r="B195" i="1" l="1"/>
  <c r="C194" i="1" a="1"/>
  <c r="C194" i="1" s="1"/>
  <c r="B196" i="1" l="1"/>
  <c r="C195" i="1" a="1"/>
  <c r="C195" i="1" s="1"/>
  <c r="B197" i="1" l="1"/>
  <c r="C196" i="1" a="1"/>
  <c r="C196" i="1" s="1"/>
  <c r="B198" i="1" l="1"/>
  <c r="C197" i="1" a="1"/>
  <c r="C197" i="1" s="1"/>
  <c r="B199" i="1" l="1"/>
  <c r="C198" i="1" a="1"/>
  <c r="C198" i="1" s="1"/>
  <c r="B200" i="1" l="1"/>
  <c r="C199" i="1" a="1"/>
  <c r="C199" i="1" s="1"/>
  <c r="B201" i="1" l="1"/>
  <c r="C200" i="1" a="1"/>
  <c r="C200" i="1" s="1"/>
  <c r="B202" i="1" l="1"/>
  <c r="C201" i="1" a="1"/>
  <c r="C201" i="1" s="1"/>
  <c r="B203" i="1" l="1"/>
  <c r="C202" i="1" a="1"/>
  <c r="C202" i="1" s="1"/>
  <c r="B204" i="1" l="1"/>
  <c r="C203" i="1" a="1"/>
  <c r="C203" i="1" s="1"/>
  <c r="B205" i="1" l="1"/>
  <c r="C204" i="1" a="1"/>
  <c r="C204" i="1" s="1"/>
  <c r="B206" i="1" l="1"/>
  <c r="C205" i="1" a="1"/>
  <c r="C205" i="1" s="1"/>
  <c r="B207" i="1" l="1"/>
  <c r="C206" i="1" a="1"/>
  <c r="C206" i="1" s="1"/>
  <c r="B208" i="1" l="1"/>
  <c r="C207" i="1" a="1"/>
  <c r="C207" i="1" s="1"/>
  <c r="B209" i="1" l="1"/>
  <c r="C208" i="1" a="1"/>
  <c r="C208" i="1" s="1"/>
  <c r="B210" i="1" l="1"/>
  <c r="C209" i="1" a="1"/>
  <c r="C209" i="1" s="1"/>
  <c r="B211" i="1" l="1"/>
  <c r="C210" i="1" a="1"/>
  <c r="C210" i="1" s="1"/>
  <c r="B212" i="1" l="1"/>
  <c r="C211" i="1" a="1"/>
  <c r="C211" i="1" s="1"/>
  <c r="B213" i="1" l="1"/>
  <c r="C212" i="1" a="1"/>
  <c r="C212" i="1" s="1"/>
  <c r="B214" i="1" l="1"/>
  <c r="C213" i="1" a="1"/>
  <c r="C213" i="1" s="1"/>
  <c r="B215" i="1" l="1"/>
  <c r="C214" i="1" a="1"/>
  <c r="C214" i="1" s="1"/>
  <c r="B216" i="1" l="1"/>
  <c r="C215" i="1" a="1"/>
  <c r="C215" i="1" s="1"/>
  <c r="B217" i="1" l="1"/>
  <c r="C216" i="1" a="1"/>
  <c r="C216" i="1" s="1"/>
  <c r="B218" i="1" l="1"/>
  <c r="C217" i="1" a="1"/>
  <c r="C217" i="1" s="1"/>
  <c r="B219" i="1" l="1"/>
  <c r="C218" i="1" a="1"/>
  <c r="C218" i="1" s="1"/>
  <c r="B220" i="1" l="1"/>
  <c r="C219" i="1" a="1"/>
  <c r="C219" i="1" s="1"/>
  <c r="B221" i="1" l="1"/>
  <c r="C220" i="1" a="1"/>
  <c r="C220" i="1" s="1"/>
  <c r="B222" i="1" l="1"/>
  <c r="C221" i="1" a="1"/>
  <c r="C221" i="1" s="1"/>
  <c r="B223" i="1" l="1"/>
  <c r="C222" i="1" a="1"/>
  <c r="C222" i="1" s="1"/>
  <c r="B224" i="1" l="1"/>
  <c r="C223" i="1" a="1"/>
  <c r="C223" i="1" s="1"/>
  <c r="B225" i="1" l="1"/>
  <c r="C224" i="1" a="1"/>
  <c r="C224" i="1" s="1"/>
  <c r="B226" i="1" l="1"/>
  <c r="C225" i="1" a="1"/>
  <c r="C225" i="1" s="1"/>
  <c r="B227" i="1" l="1"/>
  <c r="C226" i="1" a="1"/>
  <c r="C226" i="1" s="1"/>
  <c r="B228" i="1" l="1"/>
  <c r="C227" i="1" a="1"/>
  <c r="C227" i="1" s="1"/>
  <c r="B229" i="1" l="1"/>
  <c r="C228" i="1" a="1"/>
  <c r="C228" i="1" s="1"/>
  <c r="B230" i="1" l="1"/>
  <c r="C229" i="1" a="1"/>
  <c r="C229" i="1" s="1"/>
  <c r="B231" i="1" l="1"/>
  <c r="C230" i="1" a="1"/>
  <c r="C230" i="1" s="1"/>
  <c r="B232" i="1" l="1"/>
  <c r="C231" i="1" a="1"/>
  <c r="C231" i="1" s="1"/>
  <c r="B233" i="1" l="1"/>
  <c r="C232" i="1" a="1"/>
  <c r="C232" i="1" s="1"/>
  <c r="B234" i="1" l="1"/>
  <c r="C233" i="1" a="1"/>
  <c r="C233" i="1" s="1"/>
  <c r="B235" i="1" l="1"/>
  <c r="C234" i="1" a="1"/>
  <c r="C234" i="1" s="1"/>
  <c r="B236" i="1" l="1"/>
  <c r="C235" i="1" a="1"/>
  <c r="C235" i="1" s="1"/>
  <c r="B237" i="1" l="1"/>
  <c r="C236" i="1" a="1"/>
  <c r="C236" i="1" s="1"/>
  <c r="B238" i="1" l="1"/>
  <c r="C237" i="1" a="1"/>
  <c r="C237" i="1" s="1"/>
  <c r="B239" i="1" l="1"/>
  <c r="C238" i="1" a="1"/>
  <c r="C238" i="1" s="1"/>
  <c r="B240" i="1" l="1"/>
  <c r="C239" i="1" a="1"/>
  <c r="C239" i="1" s="1"/>
  <c r="B241" i="1" l="1"/>
  <c r="C240" i="1" a="1"/>
  <c r="C240" i="1" s="1"/>
  <c r="B242" i="1" l="1"/>
  <c r="C241" i="1" a="1"/>
  <c r="C241" i="1" s="1"/>
  <c r="B243" i="1" l="1"/>
  <c r="C242" i="1" a="1"/>
  <c r="C242" i="1" s="1"/>
  <c r="B244" i="1" l="1"/>
  <c r="C243" i="1" a="1"/>
  <c r="C243" i="1" s="1"/>
  <c r="B245" i="1" l="1"/>
  <c r="C244" i="1" a="1"/>
  <c r="C244" i="1" s="1"/>
  <c r="B246" i="1" l="1"/>
  <c r="C245" i="1" a="1"/>
  <c r="C245" i="1" s="1"/>
  <c r="B247" i="1" l="1"/>
  <c r="C246" i="1" a="1"/>
  <c r="C246" i="1" s="1"/>
  <c r="B248" i="1" l="1"/>
  <c r="C247" i="1" a="1"/>
  <c r="C247" i="1" s="1"/>
  <c r="B249" i="1" l="1"/>
  <c r="C248" i="1" a="1"/>
  <c r="C248" i="1" s="1"/>
  <c r="B250" i="1" l="1"/>
  <c r="C249" i="1" a="1"/>
  <c r="C249" i="1" s="1"/>
  <c r="B251" i="1" l="1"/>
  <c r="C250" i="1" a="1"/>
  <c r="C250" i="1" s="1"/>
  <c r="B252" i="1" l="1"/>
  <c r="C251" i="1" a="1"/>
  <c r="C251" i="1" s="1"/>
  <c r="B253" i="1" l="1"/>
  <c r="C252" i="1" a="1"/>
  <c r="C252" i="1" s="1"/>
  <c r="B254" i="1" l="1"/>
  <c r="C253" i="1" a="1"/>
  <c r="C253" i="1" s="1"/>
  <c r="B255" i="1" l="1"/>
  <c r="C254" i="1" a="1"/>
  <c r="C254" i="1" s="1"/>
  <c r="B256" i="1" l="1"/>
  <c r="C255" i="1" a="1"/>
  <c r="C255" i="1" s="1"/>
  <c r="B257" i="1" l="1"/>
  <c r="C256" i="1" a="1"/>
  <c r="C256" i="1" s="1"/>
  <c r="B258" i="1" l="1"/>
  <c r="C257" i="1" a="1"/>
  <c r="C257" i="1" s="1"/>
  <c r="B259" i="1" l="1"/>
  <c r="C258" i="1" a="1"/>
  <c r="C258" i="1" s="1"/>
  <c r="B260" i="1" l="1"/>
  <c r="C259" i="1" a="1"/>
  <c r="C259" i="1" s="1"/>
  <c r="B261" i="1" l="1"/>
  <c r="C260" i="1" a="1"/>
  <c r="C260" i="1" s="1"/>
  <c r="B262" i="1" l="1"/>
  <c r="C261" i="1" a="1"/>
  <c r="C261" i="1" s="1"/>
  <c r="B263" i="1" l="1"/>
  <c r="C262" i="1" a="1"/>
  <c r="C262" i="1" s="1"/>
  <c r="B264" i="1" l="1"/>
  <c r="C263" i="1" a="1"/>
  <c r="C263" i="1" s="1"/>
  <c r="B265" i="1" l="1"/>
  <c r="C264" i="1" a="1"/>
  <c r="C264" i="1" s="1"/>
  <c r="B266" i="1" l="1"/>
  <c r="C265" i="1" a="1"/>
  <c r="C265" i="1" s="1"/>
  <c r="B267" i="1" l="1"/>
  <c r="C266" i="1" a="1"/>
  <c r="C266" i="1" s="1"/>
  <c r="B268" i="1" l="1"/>
  <c r="C267" i="1" a="1"/>
  <c r="C267" i="1" s="1"/>
  <c r="B269" i="1" l="1"/>
  <c r="C268" i="1" a="1"/>
  <c r="C268" i="1" s="1"/>
  <c r="B270" i="1" l="1"/>
  <c r="C269" i="1" a="1"/>
  <c r="C269" i="1" s="1"/>
  <c r="B271" i="1" l="1"/>
  <c r="C270" i="1" a="1"/>
  <c r="C270" i="1" s="1"/>
  <c r="B272" i="1" l="1"/>
  <c r="C271" i="1" a="1"/>
  <c r="C271" i="1" s="1"/>
  <c r="B273" i="1" l="1"/>
  <c r="C272" i="1" a="1"/>
  <c r="C272" i="1" s="1"/>
  <c r="B274" i="1" l="1"/>
  <c r="C273" i="1" a="1"/>
  <c r="C273" i="1" s="1"/>
  <c r="B275" i="1" l="1"/>
  <c r="C274" i="1" a="1"/>
  <c r="C274" i="1" s="1"/>
  <c r="B276" i="1" l="1"/>
  <c r="C275" i="1" a="1"/>
  <c r="C275" i="1" s="1"/>
  <c r="B277" i="1" l="1"/>
  <c r="C276" i="1" a="1"/>
  <c r="C276" i="1" s="1"/>
  <c r="B278" i="1" l="1"/>
  <c r="C277" i="1" a="1"/>
  <c r="C277" i="1" s="1"/>
  <c r="B279" i="1" l="1"/>
  <c r="C278" i="1" a="1"/>
  <c r="C278" i="1" s="1"/>
  <c r="B280" i="1" l="1"/>
  <c r="C279" i="1" a="1"/>
  <c r="C279" i="1" s="1"/>
  <c r="B281" i="1" l="1"/>
  <c r="C280" i="1" a="1"/>
  <c r="C280" i="1" s="1"/>
  <c r="B282" i="1" l="1"/>
  <c r="C281" i="1" a="1"/>
  <c r="C281" i="1" s="1"/>
  <c r="B283" i="1" l="1"/>
  <c r="C282" i="1" a="1"/>
  <c r="C282" i="1" s="1"/>
  <c r="B284" i="1" l="1"/>
  <c r="C283" i="1" a="1"/>
  <c r="C283" i="1" s="1"/>
  <c r="B285" i="1" l="1"/>
  <c r="C284" i="1" a="1"/>
  <c r="C284" i="1" s="1"/>
  <c r="B286" i="1" l="1"/>
  <c r="C285" i="1" a="1"/>
  <c r="C285" i="1" s="1"/>
  <c r="B287" i="1" l="1"/>
  <c r="C286" i="1" a="1"/>
  <c r="C286" i="1" s="1"/>
  <c r="B288" i="1" l="1"/>
  <c r="C287" i="1" a="1"/>
  <c r="C287" i="1" s="1"/>
  <c r="B289" i="1" l="1"/>
  <c r="C288" i="1" a="1"/>
  <c r="C288" i="1" s="1"/>
  <c r="B290" i="1" l="1"/>
  <c r="C289" i="1" a="1"/>
  <c r="C289" i="1" s="1"/>
  <c r="B291" i="1" l="1"/>
  <c r="C290" i="1" a="1"/>
  <c r="C290" i="1" s="1"/>
  <c r="B292" i="1" l="1"/>
  <c r="C291" i="1" a="1"/>
  <c r="C291" i="1" s="1"/>
  <c r="B293" i="1" l="1"/>
  <c r="C292" i="1" a="1"/>
  <c r="C292" i="1" s="1"/>
  <c r="B294" i="1" l="1"/>
  <c r="C293" i="1" a="1"/>
  <c r="C293" i="1" s="1"/>
  <c r="B295" i="1" l="1"/>
  <c r="C294" i="1" a="1"/>
  <c r="C294" i="1" s="1"/>
  <c r="B296" i="1" l="1"/>
  <c r="C295" i="1" a="1"/>
  <c r="C295" i="1" s="1"/>
  <c r="B297" i="1" l="1"/>
  <c r="C296" i="1" a="1"/>
  <c r="C296" i="1" s="1"/>
  <c r="B298" i="1" l="1"/>
  <c r="C297" i="1" a="1"/>
  <c r="C297" i="1" s="1"/>
  <c r="B299" i="1" l="1"/>
  <c r="C298" i="1" a="1"/>
  <c r="C298" i="1" s="1"/>
  <c r="B300" i="1" l="1"/>
  <c r="C299" i="1" a="1"/>
  <c r="C299" i="1" s="1"/>
  <c r="B301" i="1" l="1"/>
  <c r="C300" i="1" a="1"/>
  <c r="C300" i="1" s="1"/>
  <c r="B302" i="1" l="1"/>
  <c r="C301" i="1" a="1"/>
  <c r="C301" i="1" s="1"/>
  <c r="B303" i="1" l="1"/>
  <c r="C302" i="1" a="1"/>
  <c r="C302" i="1" s="1"/>
  <c r="B304" i="1" l="1"/>
  <c r="C303" i="1" a="1"/>
  <c r="C303" i="1" s="1"/>
  <c r="B305" i="1" l="1"/>
  <c r="C304" i="1" a="1"/>
  <c r="C304" i="1" s="1"/>
  <c r="B306" i="1" l="1"/>
  <c r="C305" i="1" a="1"/>
  <c r="C305" i="1" s="1"/>
  <c r="B307" i="1" l="1"/>
  <c r="C306" i="1" a="1"/>
  <c r="C306" i="1" s="1"/>
  <c r="B308" i="1" l="1"/>
  <c r="C307" i="1" a="1"/>
  <c r="C307" i="1" s="1"/>
  <c r="B309" i="1" l="1"/>
  <c r="C308" i="1" a="1"/>
  <c r="C308" i="1" s="1"/>
  <c r="B310" i="1" l="1"/>
  <c r="C309" i="1" a="1"/>
  <c r="C309" i="1" s="1"/>
  <c r="B311" i="1" l="1"/>
  <c r="C310" i="1" a="1"/>
  <c r="C310" i="1" s="1"/>
  <c r="B312" i="1" l="1"/>
  <c r="C311" i="1" a="1"/>
  <c r="C311" i="1" s="1"/>
  <c r="B313" i="1" l="1"/>
  <c r="C312" i="1" a="1"/>
  <c r="C312" i="1" s="1"/>
  <c r="B314" i="1" l="1"/>
  <c r="C313" i="1" a="1"/>
  <c r="C313" i="1" s="1"/>
  <c r="B315" i="1" l="1"/>
  <c r="C314" i="1" a="1"/>
  <c r="C314" i="1" s="1"/>
  <c r="B316" i="1" l="1"/>
  <c r="C315" i="1" a="1"/>
  <c r="C315" i="1" s="1"/>
  <c r="B317" i="1" l="1"/>
  <c r="C316" i="1" a="1"/>
  <c r="C316" i="1" s="1"/>
  <c r="B318" i="1" l="1"/>
  <c r="C317" i="1" a="1"/>
  <c r="C317" i="1" s="1"/>
  <c r="B319" i="1" l="1"/>
  <c r="C318" i="1" a="1"/>
  <c r="C318" i="1" s="1"/>
  <c r="B320" i="1" l="1"/>
  <c r="C319" i="1" a="1"/>
  <c r="C319" i="1" s="1"/>
  <c r="B321" i="1" l="1"/>
  <c r="C320" i="1" a="1"/>
  <c r="C320" i="1" s="1"/>
  <c r="B322" i="1" l="1"/>
  <c r="C321" i="1" a="1"/>
  <c r="C321" i="1" s="1"/>
  <c r="B323" i="1" l="1"/>
  <c r="C322" i="1" a="1"/>
  <c r="C322" i="1" s="1"/>
  <c r="B324" i="1" l="1"/>
  <c r="C323" i="1" a="1"/>
  <c r="C323" i="1" s="1"/>
  <c r="B325" i="1" l="1"/>
  <c r="C324" i="1" a="1"/>
  <c r="C324" i="1" s="1"/>
  <c r="B326" i="1" l="1"/>
  <c r="C325" i="1" a="1"/>
  <c r="C325" i="1" s="1"/>
  <c r="B327" i="1" l="1"/>
  <c r="C326" i="1" a="1"/>
  <c r="C326" i="1" s="1"/>
  <c r="B328" i="1" l="1"/>
  <c r="C327" i="1" a="1"/>
  <c r="C327" i="1" s="1"/>
  <c r="B329" i="1" l="1"/>
  <c r="C328" i="1" a="1"/>
  <c r="C328" i="1" s="1"/>
  <c r="B330" i="1" l="1"/>
  <c r="C329" i="1" a="1"/>
  <c r="C329" i="1" s="1"/>
  <c r="B331" i="1" l="1"/>
  <c r="C330" i="1" a="1"/>
  <c r="C330" i="1" s="1"/>
  <c r="B332" i="1" l="1"/>
  <c r="C331" i="1" a="1"/>
  <c r="C331" i="1" s="1"/>
  <c r="B333" i="1" l="1"/>
  <c r="C332" i="1" a="1"/>
  <c r="C332" i="1" s="1"/>
  <c r="B334" i="1" l="1"/>
  <c r="C333" i="1" a="1"/>
  <c r="C333" i="1" s="1"/>
  <c r="B335" i="1" l="1"/>
  <c r="C334" i="1" a="1"/>
  <c r="C334" i="1" s="1"/>
  <c r="B336" i="1" l="1"/>
  <c r="C335" i="1" a="1"/>
  <c r="C335" i="1" s="1"/>
  <c r="B337" i="1" l="1"/>
  <c r="C336" i="1" a="1"/>
  <c r="C336" i="1" s="1"/>
  <c r="B338" i="1" l="1"/>
  <c r="C337" i="1" a="1"/>
  <c r="C337" i="1" s="1"/>
  <c r="B339" i="1" l="1"/>
  <c r="C338" i="1" a="1"/>
  <c r="C338" i="1" s="1"/>
  <c r="B340" i="1" l="1"/>
  <c r="C339" i="1" a="1"/>
  <c r="C339" i="1" s="1"/>
  <c r="B341" i="1" l="1"/>
  <c r="C340" i="1" a="1"/>
  <c r="C340" i="1" s="1"/>
  <c r="B342" i="1" l="1"/>
  <c r="C341" i="1" a="1"/>
  <c r="C341" i="1" s="1"/>
  <c r="B343" i="1" l="1"/>
  <c r="C342" i="1" a="1"/>
  <c r="C342" i="1" s="1"/>
  <c r="B344" i="1" l="1"/>
  <c r="C343" i="1" a="1"/>
  <c r="C343" i="1" s="1"/>
  <c r="B345" i="1" l="1"/>
  <c r="C344" i="1" a="1"/>
  <c r="C344" i="1" s="1"/>
  <c r="B346" i="1" l="1"/>
  <c r="C345" i="1" a="1"/>
  <c r="C345" i="1" s="1"/>
  <c r="B347" i="1" l="1"/>
  <c r="C346" i="1" a="1"/>
  <c r="C346" i="1" s="1"/>
  <c r="B348" i="1" l="1"/>
  <c r="C347" i="1" a="1"/>
  <c r="C347" i="1" s="1"/>
  <c r="B349" i="1" l="1"/>
  <c r="C348" i="1" a="1"/>
  <c r="C348" i="1" s="1"/>
  <c r="B350" i="1" l="1"/>
  <c r="C349" i="1" a="1"/>
  <c r="C349" i="1" s="1"/>
  <c r="B351" i="1" l="1"/>
  <c r="C350" i="1" a="1"/>
  <c r="C350" i="1" s="1"/>
  <c r="B352" i="1" l="1"/>
  <c r="C351" i="1" a="1"/>
  <c r="C351" i="1" s="1"/>
  <c r="B353" i="1" l="1"/>
  <c r="C352" i="1" a="1"/>
  <c r="C352" i="1" s="1"/>
  <c r="B354" i="1" l="1"/>
  <c r="C353" i="1" a="1"/>
  <c r="C353" i="1" s="1"/>
  <c r="B355" i="1" l="1"/>
  <c r="C354" i="1" a="1"/>
  <c r="C354" i="1" s="1"/>
  <c r="B356" i="1" l="1"/>
  <c r="C355" i="1" a="1"/>
  <c r="C355" i="1" s="1"/>
  <c r="B357" i="1" l="1"/>
  <c r="C356" i="1" a="1"/>
  <c r="C356" i="1" s="1"/>
  <c r="B358" i="1" l="1"/>
  <c r="C357" i="1" a="1"/>
  <c r="C357" i="1" s="1"/>
  <c r="B359" i="1" l="1"/>
  <c r="C358" i="1" a="1"/>
  <c r="C358" i="1" s="1"/>
  <c r="B360" i="1" l="1"/>
  <c r="C359" i="1" a="1"/>
  <c r="C359" i="1" s="1"/>
  <c r="B361" i="1" l="1"/>
  <c r="C360" i="1" a="1"/>
  <c r="C360" i="1" s="1"/>
  <c r="B362" i="1" l="1"/>
  <c r="C361" i="1" a="1"/>
  <c r="C361" i="1" s="1"/>
  <c r="B363" i="1" l="1"/>
  <c r="C362" i="1" a="1"/>
  <c r="C362" i="1" s="1"/>
  <c r="B364" i="1" l="1"/>
  <c r="C363" i="1" a="1"/>
  <c r="C363" i="1" s="1"/>
  <c r="B365" i="1" l="1"/>
  <c r="C364" i="1" a="1"/>
  <c r="C364" i="1" s="1"/>
  <c r="B366" i="1" l="1"/>
  <c r="C365" i="1" a="1"/>
  <c r="C365" i="1" s="1"/>
  <c r="B367" i="1" l="1"/>
  <c r="C366" i="1" a="1"/>
  <c r="C366" i="1" s="1"/>
  <c r="B368" i="1" l="1"/>
  <c r="C367" i="1" a="1"/>
  <c r="C367" i="1" s="1"/>
  <c r="B369" i="1" l="1"/>
  <c r="C368" i="1" a="1"/>
  <c r="C368" i="1" s="1"/>
  <c r="B370" i="1" l="1"/>
  <c r="C369" i="1" a="1"/>
  <c r="C369" i="1" s="1"/>
  <c r="B371" i="1" l="1"/>
  <c r="C370" i="1" a="1"/>
  <c r="C370" i="1" s="1"/>
  <c r="B372" i="1" l="1"/>
  <c r="C371" i="1" a="1"/>
  <c r="C371" i="1" s="1"/>
  <c r="B373" i="1" l="1"/>
  <c r="C372" i="1" a="1"/>
  <c r="C372" i="1" s="1"/>
  <c r="B374" i="1" l="1"/>
  <c r="C373" i="1" a="1"/>
  <c r="C373" i="1" s="1"/>
  <c r="B375" i="1" l="1"/>
  <c r="C374" i="1" a="1"/>
  <c r="C374" i="1" s="1"/>
  <c r="B376" i="1" l="1"/>
  <c r="C375" i="1" a="1"/>
  <c r="C375" i="1" s="1"/>
  <c r="B377" i="1" l="1"/>
  <c r="C376" i="1" a="1"/>
  <c r="C376" i="1" s="1"/>
  <c r="B378" i="1" l="1"/>
  <c r="C377" i="1" a="1"/>
  <c r="C377" i="1" s="1"/>
  <c r="B379" i="1" l="1"/>
  <c r="C378" i="1" a="1"/>
  <c r="C378" i="1" s="1"/>
  <c r="B380" i="1" l="1"/>
  <c r="C379" i="1" a="1"/>
  <c r="C379" i="1" s="1"/>
  <c r="B381" i="1" l="1"/>
  <c r="C380" i="1" a="1"/>
  <c r="C380" i="1" s="1"/>
  <c r="B382" i="1" l="1"/>
  <c r="C381" i="1" a="1"/>
  <c r="C381" i="1" s="1"/>
  <c r="B383" i="1" l="1"/>
  <c r="C382" i="1" a="1"/>
  <c r="C382" i="1" s="1"/>
  <c r="B384" i="1" l="1"/>
  <c r="C383" i="1" a="1"/>
  <c r="C383" i="1" s="1"/>
  <c r="B385" i="1" l="1"/>
  <c r="C384" i="1" a="1"/>
  <c r="C384" i="1" s="1"/>
  <c r="B386" i="1" l="1"/>
  <c r="C385" i="1" a="1"/>
  <c r="C385" i="1" s="1"/>
  <c r="B387" i="1" l="1"/>
  <c r="C386" i="1" a="1"/>
  <c r="C386" i="1" s="1"/>
  <c r="B388" i="1" l="1"/>
  <c r="C387" i="1" a="1"/>
  <c r="C387" i="1" s="1"/>
  <c r="B389" i="1" l="1"/>
  <c r="C388" i="1" a="1"/>
  <c r="C388" i="1" s="1"/>
  <c r="B390" i="1" l="1"/>
  <c r="C389" i="1" a="1"/>
  <c r="C389" i="1" s="1"/>
  <c r="B391" i="1" l="1"/>
  <c r="C390" i="1" a="1"/>
  <c r="C390" i="1" s="1"/>
  <c r="B392" i="1" l="1"/>
  <c r="C391" i="1" a="1"/>
  <c r="C391" i="1" s="1"/>
  <c r="B393" i="1" l="1"/>
  <c r="C392" i="1" a="1"/>
  <c r="C392" i="1" s="1"/>
  <c r="B394" i="1" l="1"/>
  <c r="C393" i="1" a="1"/>
  <c r="C393" i="1" s="1"/>
  <c r="B395" i="1" l="1"/>
  <c r="C394" i="1" a="1"/>
  <c r="C394" i="1" s="1"/>
  <c r="B396" i="1" l="1"/>
  <c r="C395" i="1" a="1"/>
  <c r="C395" i="1" s="1"/>
  <c r="B397" i="1" l="1"/>
  <c r="C396" i="1" a="1"/>
  <c r="C396" i="1" s="1"/>
  <c r="B398" i="1" l="1"/>
  <c r="C397" i="1" a="1"/>
  <c r="C397" i="1" s="1"/>
  <c r="B399" i="1" l="1"/>
  <c r="C398" i="1" a="1"/>
  <c r="C398" i="1" s="1"/>
  <c r="B400" i="1" l="1"/>
  <c r="C399" i="1" a="1"/>
  <c r="C399" i="1" s="1"/>
  <c r="B401" i="1" l="1"/>
  <c r="C400" i="1" a="1"/>
  <c r="C400" i="1" s="1"/>
  <c r="B402" i="1" l="1"/>
  <c r="C401" i="1" a="1"/>
  <c r="C401" i="1" s="1"/>
  <c r="B403" i="1" l="1"/>
  <c r="C402" i="1" a="1"/>
  <c r="C402" i="1" s="1"/>
  <c r="B404" i="1" l="1"/>
  <c r="C403" i="1" a="1"/>
  <c r="C403" i="1" s="1"/>
  <c r="B405" i="1" l="1"/>
  <c r="C404" i="1" a="1"/>
  <c r="C404" i="1" s="1"/>
  <c r="B406" i="1" l="1"/>
  <c r="C405" i="1" a="1"/>
  <c r="C405" i="1" s="1"/>
  <c r="B407" i="1" l="1"/>
  <c r="C406" i="1" a="1"/>
  <c r="C406" i="1" s="1"/>
  <c r="B408" i="1" l="1"/>
  <c r="C407" i="1" a="1"/>
  <c r="C407" i="1" s="1"/>
  <c r="B409" i="1" l="1"/>
  <c r="C408" i="1" a="1"/>
  <c r="C408" i="1" s="1"/>
  <c r="B410" i="1" l="1"/>
  <c r="C409" i="1" a="1"/>
  <c r="C409" i="1" s="1"/>
  <c r="B411" i="1" l="1"/>
  <c r="C410" i="1" a="1"/>
  <c r="C410" i="1" s="1"/>
  <c r="B412" i="1" l="1"/>
  <c r="C411" i="1" a="1"/>
  <c r="C411" i="1" s="1"/>
  <c r="B413" i="1" l="1"/>
  <c r="C412" i="1" a="1"/>
  <c r="C412" i="1" s="1"/>
  <c r="B414" i="1" l="1"/>
  <c r="C413" i="1" a="1"/>
  <c r="C413" i="1" s="1"/>
  <c r="B415" i="1" l="1"/>
  <c r="C414" i="1" a="1"/>
  <c r="C414" i="1" s="1"/>
  <c r="B416" i="1" l="1"/>
  <c r="C415" i="1" a="1"/>
  <c r="C415" i="1" s="1"/>
  <c r="B417" i="1" l="1"/>
  <c r="C416" i="1" a="1"/>
  <c r="C416" i="1" s="1"/>
  <c r="B418" i="1" l="1"/>
  <c r="C417" i="1" a="1"/>
  <c r="C417" i="1" s="1"/>
  <c r="B419" i="1" l="1"/>
  <c r="C418" i="1" a="1"/>
  <c r="C418" i="1" s="1"/>
  <c r="B420" i="1" l="1"/>
  <c r="C419" i="1" a="1"/>
  <c r="C419" i="1" s="1"/>
  <c r="B421" i="1" l="1"/>
  <c r="C420" i="1" a="1"/>
  <c r="C420" i="1" s="1"/>
  <c r="B422" i="1" l="1"/>
  <c r="C421" i="1" a="1"/>
  <c r="C421" i="1" s="1"/>
  <c r="B423" i="1" l="1"/>
  <c r="C422" i="1" a="1"/>
  <c r="C422" i="1" s="1"/>
  <c r="B424" i="1" l="1"/>
  <c r="C423" i="1" a="1"/>
  <c r="C423" i="1" s="1"/>
  <c r="B425" i="1" l="1"/>
  <c r="C424" i="1" a="1"/>
  <c r="C424" i="1" s="1"/>
  <c r="B426" i="1" l="1"/>
  <c r="C425" i="1" a="1"/>
  <c r="C425" i="1" s="1"/>
  <c r="B427" i="1" l="1"/>
  <c r="C426" i="1" a="1"/>
  <c r="C426" i="1" s="1"/>
  <c r="B428" i="1" l="1"/>
  <c r="C427" i="1" a="1"/>
  <c r="C427" i="1" s="1"/>
  <c r="B429" i="1" l="1"/>
  <c r="C428" i="1" a="1"/>
  <c r="C428" i="1" s="1"/>
  <c r="B430" i="1" l="1"/>
  <c r="C429" i="1" a="1"/>
  <c r="C429" i="1" s="1"/>
  <c r="B431" i="1" l="1"/>
  <c r="C430" i="1" a="1"/>
  <c r="C430" i="1" s="1"/>
  <c r="B432" i="1" l="1"/>
  <c r="C431" i="1" a="1"/>
  <c r="C431" i="1" s="1"/>
  <c r="B433" i="1" l="1"/>
  <c r="C432" i="1" a="1"/>
  <c r="C432" i="1" s="1"/>
  <c r="B434" i="1" l="1"/>
  <c r="C433" i="1" a="1"/>
  <c r="C433" i="1" s="1"/>
  <c r="B435" i="1" l="1"/>
  <c r="C434" i="1" a="1"/>
  <c r="C434" i="1" s="1"/>
  <c r="B436" i="1" l="1"/>
  <c r="C435" i="1" a="1"/>
  <c r="C435" i="1" s="1"/>
  <c r="B437" i="1" l="1"/>
  <c r="C436" i="1" a="1"/>
  <c r="C436" i="1" s="1"/>
  <c r="B438" i="1" l="1"/>
  <c r="C437" i="1" a="1"/>
  <c r="C437" i="1" s="1"/>
  <c r="B439" i="1" l="1"/>
  <c r="C438" i="1" a="1"/>
  <c r="C438" i="1" s="1"/>
  <c r="B440" i="1" l="1"/>
  <c r="C439" i="1" a="1"/>
  <c r="C439" i="1" s="1"/>
  <c r="B441" i="1" l="1"/>
  <c r="C440" i="1" a="1"/>
  <c r="C440" i="1" s="1"/>
  <c r="B442" i="1" l="1"/>
  <c r="C441" i="1" a="1"/>
  <c r="C441" i="1" s="1"/>
  <c r="B443" i="1" l="1"/>
  <c r="C442" i="1" a="1"/>
  <c r="C442" i="1" s="1"/>
  <c r="B444" i="1" l="1"/>
  <c r="C443" i="1" a="1"/>
  <c r="C443" i="1" s="1"/>
  <c r="B445" i="1" l="1"/>
  <c r="C444" i="1" a="1"/>
  <c r="C444" i="1" s="1"/>
  <c r="B446" i="1" l="1"/>
  <c r="C445" i="1" a="1"/>
  <c r="C445" i="1" s="1"/>
  <c r="B447" i="1" l="1"/>
  <c r="C446" i="1" a="1"/>
  <c r="C446" i="1" s="1"/>
  <c r="B448" i="1" l="1"/>
  <c r="C447" i="1" a="1"/>
  <c r="C447" i="1" s="1"/>
  <c r="B449" i="1" l="1"/>
  <c r="C448" i="1" a="1"/>
  <c r="C448" i="1" s="1"/>
  <c r="B450" i="1" l="1"/>
  <c r="C449" i="1" a="1"/>
  <c r="C449" i="1" s="1"/>
  <c r="B451" i="1" l="1"/>
  <c r="C450" i="1" a="1"/>
  <c r="C450" i="1" s="1"/>
  <c r="B452" i="1" l="1"/>
  <c r="C451" i="1" a="1"/>
  <c r="C451" i="1" s="1"/>
  <c r="B453" i="1" l="1"/>
  <c r="C452" i="1" a="1"/>
  <c r="C452" i="1" s="1"/>
  <c r="B454" i="1" l="1"/>
  <c r="C453" i="1" a="1"/>
  <c r="C453" i="1" s="1"/>
  <c r="B455" i="1" l="1"/>
  <c r="C454" i="1" a="1"/>
  <c r="C454" i="1" s="1"/>
  <c r="B456" i="1" l="1"/>
  <c r="C455" i="1" a="1"/>
  <c r="C455" i="1" s="1"/>
  <c r="B457" i="1" l="1"/>
  <c r="C456" i="1" a="1"/>
  <c r="C456" i="1" s="1"/>
  <c r="B458" i="1" l="1"/>
  <c r="C457" i="1" a="1"/>
  <c r="C457" i="1" s="1"/>
  <c r="B459" i="1" l="1"/>
  <c r="C458" i="1" a="1"/>
  <c r="C458" i="1" s="1"/>
  <c r="B460" i="1" l="1"/>
  <c r="C459" i="1" a="1"/>
  <c r="C459" i="1" s="1"/>
  <c r="B461" i="1" l="1"/>
  <c r="C460" i="1" a="1"/>
  <c r="C460" i="1" s="1"/>
  <c r="B462" i="1" l="1"/>
  <c r="C461" i="1" a="1"/>
  <c r="C461" i="1" s="1"/>
  <c r="B463" i="1" l="1"/>
  <c r="C462" i="1" a="1"/>
  <c r="C462" i="1" s="1"/>
  <c r="B464" i="1" l="1"/>
  <c r="C463" i="1" a="1"/>
  <c r="C463" i="1" s="1"/>
  <c r="B465" i="1" l="1"/>
  <c r="C464" i="1" a="1"/>
  <c r="C464" i="1" s="1"/>
  <c r="B466" i="1" l="1"/>
  <c r="C465" i="1" a="1"/>
  <c r="C465" i="1" s="1"/>
  <c r="B467" i="1" l="1"/>
  <c r="C466" i="1" a="1"/>
  <c r="C466" i="1" s="1"/>
  <c r="B468" i="1" l="1"/>
  <c r="C467" i="1" a="1"/>
  <c r="C467" i="1" s="1"/>
  <c r="B469" i="1" l="1"/>
  <c r="C468" i="1" a="1"/>
  <c r="C468" i="1" s="1"/>
  <c r="B470" i="1" l="1"/>
  <c r="C469" i="1" a="1"/>
  <c r="C469" i="1" s="1"/>
  <c r="B471" i="1" l="1"/>
  <c r="C470" i="1" a="1"/>
  <c r="C470" i="1" s="1"/>
  <c r="B472" i="1" l="1"/>
  <c r="C471" i="1" a="1"/>
  <c r="C471" i="1" s="1"/>
  <c r="B473" i="1" l="1"/>
  <c r="C472" i="1" a="1"/>
  <c r="C472" i="1" s="1"/>
  <c r="B474" i="1" l="1"/>
  <c r="C473" i="1" a="1"/>
  <c r="C473" i="1" s="1"/>
  <c r="B475" i="1" l="1"/>
  <c r="C474" i="1" a="1"/>
  <c r="C474" i="1" s="1"/>
  <c r="B476" i="1" l="1"/>
  <c r="C475" i="1" a="1"/>
  <c r="C475" i="1" s="1"/>
  <c r="B477" i="1" l="1"/>
  <c r="C476" i="1" a="1"/>
  <c r="C476" i="1" s="1"/>
  <c r="B478" i="1" l="1"/>
  <c r="C477" i="1" a="1"/>
  <c r="C477" i="1" s="1"/>
  <c r="B479" i="1" l="1"/>
  <c r="C478" i="1" a="1"/>
  <c r="C478" i="1" s="1"/>
  <c r="B480" i="1" l="1"/>
  <c r="C479" i="1" a="1"/>
  <c r="C479" i="1" s="1"/>
  <c r="B481" i="1" l="1"/>
  <c r="C480" i="1" a="1"/>
  <c r="C480" i="1" s="1"/>
  <c r="B482" i="1" l="1"/>
  <c r="C481" i="1" a="1"/>
  <c r="C481" i="1" s="1"/>
  <c r="B483" i="1" l="1"/>
  <c r="C482" i="1" a="1"/>
  <c r="C482" i="1" s="1"/>
  <c r="B484" i="1" l="1"/>
  <c r="C483" i="1" a="1"/>
  <c r="C483" i="1" s="1"/>
  <c r="B485" i="1" l="1"/>
  <c r="C484" i="1" a="1"/>
  <c r="C484" i="1" s="1"/>
  <c r="B486" i="1" l="1"/>
  <c r="C485" i="1" a="1"/>
  <c r="C485" i="1" s="1"/>
  <c r="B487" i="1" l="1"/>
  <c r="C486" i="1" a="1"/>
  <c r="C486" i="1" s="1"/>
  <c r="B488" i="1" l="1"/>
  <c r="C487" i="1" a="1"/>
  <c r="C487" i="1" s="1"/>
  <c r="B489" i="1" l="1"/>
  <c r="C488" i="1" a="1"/>
  <c r="C488" i="1" s="1"/>
  <c r="B490" i="1" l="1"/>
  <c r="C489" i="1" a="1"/>
  <c r="C489" i="1" s="1"/>
  <c r="B491" i="1" l="1"/>
  <c r="C490" i="1" a="1"/>
  <c r="C490" i="1" s="1"/>
  <c r="B492" i="1" l="1"/>
  <c r="C491" i="1" a="1"/>
  <c r="C491" i="1" s="1"/>
  <c r="B493" i="1" l="1"/>
  <c r="C492" i="1" a="1"/>
  <c r="C492" i="1" s="1"/>
  <c r="B494" i="1" l="1"/>
  <c r="C493" i="1" a="1"/>
  <c r="C493" i="1" s="1"/>
  <c r="B495" i="1" l="1"/>
  <c r="C494" i="1" a="1"/>
  <c r="C494" i="1" s="1"/>
  <c r="B496" i="1" l="1"/>
  <c r="C495" i="1" a="1"/>
  <c r="C495" i="1" s="1"/>
  <c r="B497" i="1" l="1"/>
  <c r="C496" i="1" a="1"/>
  <c r="C496" i="1" s="1"/>
  <c r="B498" i="1" l="1"/>
  <c r="C497" i="1" a="1"/>
  <c r="C497" i="1" s="1"/>
  <c r="B499" i="1" l="1"/>
  <c r="C498" i="1" a="1"/>
  <c r="C498" i="1" s="1"/>
  <c r="B500" i="1" l="1"/>
  <c r="C499" i="1" a="1"/>
  <c r="C499" i="1" s="1"/>
  <c r="B501" i="1" l="1"/>
  <c r="C500" i="1" a="1"/>
  <c r="C500" i="1" s="1"/>
  <c r="B502" i="1" l="1"/>
  <c r="C501" i="1" a="1"/>
  <c r="C501" i="1" s="1"/>
  <c r="B503" i="1" l="1"/>
  <c r="C502" i="1" a="1"/>
  <c r="C502" i="1" s="1"/>
  <c r="B504" i="1" l="1"/>
  <c r="C503" i="1" a="1"/>
  <c r="C503" i="1" s="1"/>
  <c r="B505" i="1" l="1"/>
  <c r="C504" i="1" a="1"/>
  <c r="C504" i="1" s="1"/>
  <c r="B506" i="1" l="1"/>
  <c r="C505" i="1" a="1"/>
  <c r="C505" i="1" s="1"/>
  <c r="B507" i="1" l="1"/>
  <c r="C506" i="1" a="1"/>
  <c r="C506" i="1" s="1"/>
  <c r="B508" i="1" l="1"/>
  <c r="C507" i="1" a="1"/>
  <c r="C507" i="1" s="1"/>
  <c r="B509" i="1" l="1"/>
  <c r="C508" i="1" a="1"/>
  <c r="C508" i="1" s="1"/>
  <c r="B510" i="1" l="1"/>
  <c r="C509" i="1" a="1"/>
  <c r="C509" i="1" s="1"/>
  <c r="B511" i="1" l="1"/>
  <c r="C510" i="1" a="1"/>
  <c r="C510" i="1" s="1"/>
  <c r="B512" i="1" l="1"/>
  <c r="C511" i="1" a="1"/>
  <c r="C511" i="1" s="1"/>
  <c r="B513" i="1" l="1"/>
  <c r="C512" i="1" a="1"/>
  <c r="C512" i="1" s="1"/>
  <c r="B514" i="1" l="1"/>
  <c r="C513" i="1" a="1"/>
  <c r="C513" i="1" s="1"/>
  <c r="B515" i="1" l="1"/>
  <c r="C514" i="1" a="1"/>
  <c r="C514" i="1" s="1"/>
  <c r="B516" i="1" l="1"/>
  <c r="C515" i="1" a="1"/>
  <c r="C515" i="1" s="1"/>
  <c r="B517" i="1" l="1"/>
  <c r="C516" i="1" a="1"/>
  <c r="C516" i="1" s="1"/>
  <c r="B518" i="1" l="1"/>
  <c r="C517" i="1" a="1"/>
  <c r="C517" i="1" s="1"/>
  <c r="B519" i="1" l="1"/>
  <c r="C518" i="1" a="1"/>
  <c r="C518" i="1" s="1"/>
  <c r="B520" i="1" l="1"/>
  <c r="C519" i="1" a="1"/>
  <c r="C519" i="1" s="1"/>
  <c r="B521" i="1" l="1"/>
  <c r="C520" i="1" a="1"/>
  <c r="C520" i="1" s="1"/>
  <c r="B522" i="1" l="1"/>
  <c r="C521" i="1" a="1"/>
  <c r="C521" i="1" s="1"/>
  <c r="B523" i="1" l="1"/>
  <c r="C522" i="1" a="1"/>
  <c r="C522" i="1" s="1"/>
  <c r="B524" i="1" l="1"/>
  <c r="C523" i="1" a="1"/>
  <c r="C523" i="1" s="1"/>
  <c r="B525" i="1" l="1"/>
  <c r="C524" i="1" a="1"/>
  <c r="C524" i="1" s="1"/>
  <c r="B526" i="1" l="1"/>
  <c r="C525" i="1" a="1"/>
  <c r="C525" i="1" s="1"/>
  <c r="B527" i="1" l="1"/>
  <c r="C526" i="1" a="1"/>
  <c r="C526" i="1" s="1"/>
  <c r="B528" i="1" l="1"/>
  <c r="C527" i="1" a="1"/>
  <c r="C527" i="1" s="1"/>
  <c r="B529" i="1" l="1"/>
  <c r="C528" i="1" a="1"/>
  <c r="C528" i="1" s="1"/>
  <c r="B530" i="1" l="1"/>
  <c r="C529" i="1" a="1"/>
  <c r="C529" i="1" s="1"/>
  <c r="B531" i="1" l="1"/>
  <c r="C530" i="1" a="1"/>
  <c r="C530" i="1" s="1"/>
  <c r="B532" i="1" l="1"/>
  <c r="C531" i="1" a="1"/>
  <c r="C531" i="1" s="1"/>
  <c r="B533" i="1" l="1"/>
  <c r="C532" i="1" a="1"/>
  <c r="C532" i="1" s="1"/>
  <c r="B534" i="1" l="1"/>
  <c r="C533" i="1" a="1"/>
  <c r="C533" i="1" s="1"/>
  <c r="B535" i="1" l="1"/>
  <c r="C534" i="1" a="1"/>
  <c r="C534" i="1" s="1"/>
  <c r="B536" i="1" l="1"/>
  <c r="C535" i="1" a="1"/>
  <c r="C535" i="1" s="1"/>
  <c r="B537" i="1" l="1"/>
  <c r="C536" i="1" a="1"/>
  <c r="C536" i="1" s="1"/>
  <c r="B538" i="1" l="1"/>
  <c r="C537" i="1" a="1"/>
  <c r="C537" i="1" s="1"/>
  <c r="B539" i="1" l="1"/>
  <c r="C538" i="1" a="1"/>
  <c r="C538" i="1" s="1"/>
  <c r="B540" i="1" l="1"/>
  <c r="C539" i="1" a="1"/>
  <c r="C539" i="1" s="1"/>
  <c r="B541" i="1" l="1"/>
  <c r="C540" i="1" a="1"/>
  <c r="C540" i="1" s="1"/>
  <c r="B542" i="1" l="1"/>
  <c r="C541" i="1" a="1"/>
  <c r="C541" i="1" s="1"/>
  <c r="B543" i="1" l="1"/>
  <c r="C542" i="1" a="1"/>
  <c r="C542" i="1" s="1"/>
  <c r="B544" i="1" l="1"/>
  <c r="C543" i="1" a="1"/>
  <c r="C543" i="1" s="1"/>
  <c r="B545" i="1" l="1"/>
  <c r="C544" i="1" a="1"/>
  <c r="C544" i="1" s="1"/>
  <c r="B546" i="1" l="1"/>
  <c r="C545" i="1" a="1"/>
  <c r="C545" i="1" s="1"/>
  <c r="B547" i="1" l="1"/>
  <c r="C546" i="1" a="1"/>
  <c r="C546" i="1" s="1"/>
  <c r="B548" i="1" l="1"/>
  <c r="C547" i="1" a="1"/>
  <c r="C547" i="1" s="1"/>
  <c r="B549" i="1" l="1"/>
  <c r="C548" i="1" a="1"/>
  <c r="C548" i="1" s="1"/>
  <c r="B550" i="1" l="1"/>
  <c r="C549" i="1" a="1"/>
  <c r="C549" i="1" s="1"/>
  <c r="B551" i="1" l="1"/>
  <c r="C550" i="1" a="1"/>
  <c r="C550" i="1" s="1"/>
  <c r="B552" i="1" l="1"/>
  <c r="C551" i="1" a="1"/>
  <c r="C551" i="1" s="1"/>
  <c r="B553" i="1" l="1"/>
  <c r="C552" i="1" a="1"/>
  <c r="C552" i="1" s="1"/>
  <c r="B554" i="1" l="1"/>
  <c r="C553" i="1" a="1"/>
  <c r="C553" i="1" s="1"/>
  <c r="B555" i="1" l="1"/>
  <c r="C554" i="1" a="1"/>
  <c r="C554" i="1" s="1"/>
  <c r="B556" i="1" l="1"/>
  <c r="C555" i="1" a="1"/>
  <c r="C555" i="1" s="1"/>
  <c r="B557" i="1" l="1"/>
  <c r="C556" i="1" a="1"/>
  <c r="C556" i="1" s="1"/>
  <c r="B558" i="1" l="1"/>
  <c r="C557" i="1" a="1"/>
  <c r="C557" i="1" s="1"/>
  <c r="B559" i="1" l="1"/>
  <c r="C558" i="1" a="1"/>
  <c r="C558" i="1" s="1"/>
  <c r="B560" i="1" l="1"/>
  <c r="C559" i="1" a="1"/>
  <c r="C559" i="1" s="1"/>
  <c r="B561" i="1" l="1"/>
  <c r="C560" i="1" a="1"/>
  <c r="C560" i="1" s="1"/>
  <c r="B562" i="1" l="1"/>
  <c r="C561" i="1" a="1"/>
  <c r="C561" i="1" s="1"/>
  <c r="B563" i="1" l="1"/>
  <c r="C562" i="1" a="1"/>
  <c r="C562" i="1" s="1"/>
  <c r="B564" i="1" l="1"/>
  <c r="C563" i="1" a="1"/>
  <c r="C563" i="1" s="1"/>
  <c r="B565" i="1" l="1"/>
  <c r="C564" i="1" a="1"/>
  <c r="C564" i="1" s="1"/>
  <c r="B566" i="1" l="1"/>
  <c r="C565" i="1" a="1"/>
  <c r="C565" i="1" s="1"/>
  <c r="B567" i="1" l="1"/>
  <c r="C566" i="1" a="1"/>
  <c r="C566" i="1" s="1"/>
  <c r="B568" i="1" l="1"/>
  <c r="C567" i="1" a="1"/>
  <c r="C567" i="1" s="1"/>
  <c r="B569" i="1" l="1"/>
  <c r="C568" i="1" a="1"/>
  <c r="C568" i="1" s="1"/>
  <c r="B570" i="1" l="1"/>
  <c r="C569" i="1" a="1"/>
  <c r="C569" i="1" s="1"/>
  <c r="B571" i="1" l="1"/>
  <c r="C570" i="1" a="1"/>
  <c r="C570" i="1" s="1"/>
  <c r="B572" i="1" l="1"/>
  <c r="C571" i="1" a="1"/>
  <c r="C571" i="1" s="1"/>
  <c r="B573" i="1" l="1"/>
  <c r="C572" i="1" a="1"/>
  <c r="C572" i="1" s="1"/>
  <c r="B574" i="1" l="1"/>
  <c r="C573" i="1" a="1"/>
  <c r="C573" i="1" s="1"/>
  <c r="B575" i="1" l="1"/>
  <c r="C574" i="1" a="1"/>
  <c r="C574" i="1" s="1"/>
  <c r="B576" i="1" l="1"/>
  <c r="C575" i="1" a="1"/>
  <c r="C575" i="1" s="1"/>
  <c r="B577" i="1" l="1"/>
  <c r="C576" i="1" a="1"/>
  <c r="C576" i="1" s="1"/>
  <c r="B578" i="1" l="1"/>
  <c r="C577" i="1" a="1"/>
  <c r="C577" i="1" s="1"/>
  <c r="B579" i="1" l="1"/>
  <c r="C578" i="1" a="1"/>
  <c r="C578" i="1" s="1"/>
  <c r="B580" i="1" l="1"/>
  <c r="C579" i="1" a="1"/>
  <c r="C579" i="1" s="1"/>
  <c r="B581" i="1" l="1"/>
  <c r="C580" i="1" a="1"/>
  <c r="C580" i="1" s="1"/>
  <c r="B582" i="1" l="1"/>
  <c r="C581" i="1" a="1"/>
  <c r="C581" i="1" s="1"/>
  <c r="B583" i="1" l="1"/>
  <c r="C582" i="1" a="1"/>
  <c r="C582" i="1" s="1"/>
  <c r="B584" i="1" l="1"/>
  <c r="C583" i="1" a="1"/>
  <c r="C583" i="1" s="1"/>
  <c r="B585" i="1" l="1"/>
  <c r="C584" i="1" a="1"/>
  <c r="C584" i="1" s="1"/>
  <c r="B586" i="1" l="1"/>
  <c r="C585" i="1" a="1"/>
  <c r="C585" i="1" s="1"/>
  <c r="B587" i="1" l="1"/>
  <c r="C586" i="1" a="1"/>
  <c r="C586" i="1" s="1"/>
  <c r="B588" i="1" l="1"/>
  <c r="C587" i="1" a="1"/>
  <c r="C587" i="1" s="1"/>
  <c r="B589" i="1" l="1"/>
  <c r="C588" i="1" a="1"/>
  <c r="C588" i="1" s="1"/>
  <c r="B590" i="1" l="1"/>
  <c r="C589" i="1" a="1"/>
  <c r="C589" i="1" s="1"/>
  <c r="B591" i="1" l="1"/>
  <c r="C590" i="1" a="1"/>
  <c r="C590" i="1" s="1"/>
  <c r="B592" i="1" l="1"/>
  <c r="C591" i="1" a="1"/>
  <c r="C591" i="1" s="1"/>
  <c r="B593" i="1" l="1"/>
  <c r="C592" i="1" a="1"/>
  <c r="C592" i="1" s="1"/>
  <c r="B594" i="1" l="1"/>
  <c r="C593" i="1" a="1"/>
  <c r="C593" i="1" s="1"/>
  <c r="B595" i="1" l="1"/>
  <c r="C594" i="1" a="1"/>
  <c r="C594" i="1" s="1"/>
  <c r="B596" i="1" l="1"/>
  <c r="C595" i="1" a="1"/>
  <c r="C595" i="1" s="1"/>
  <c r="B597" i="1" l="1"/>
  <c r="C596" i="1" a="1"/>
  <c r="C596" i="1" s="1"/>
  <c r="B598" i="1" l="1"/>
  <c r="C597" i="1" a="1"/>
  <c r="C597" i="1" s="1"/>
  <c r="B599" i="1" l="1"/>
  <c r="C598" i="1" a="1"/>
  <c r="C598" i="1" s="1"/>
  <c r="B600" i="1" l="1"/>
  <c r="C599" i="1" a="1"/>
  <c r="C599" i="1" s="1"/>
  <c r="B601" i="1" l="1"/>
  <c r="C600" i="1" a="1"/>
  <c r="C600" i="1" s="1"/>
  <c r="B602" i="1" l="1"/>
  <c r="C601" i="1" a="1"/>
  <c r="C601" i="1" s="1"/>
  <c r="B603" i="1" l="1"/>
  <c r="C602" i="1" a="1"/>
  <c r="C602" i="1" s="1"/>
  <c r="B604" i="1" l="1"/>
  <c r="C603" i="1" a="1"/>
  <c r="C603" i="1" s="1"/>
  <c r="B605" i="1" l="1"/>
  <c r="C604" i="1" a="1"/>
  <c r="C604" i="1" s="1"/>
  <c r="B606" i="1" l="1"/>
  <c r="C605" i="1" a="1"/>
  <c r="C605" i="1" s="1"/>
  <c r="B607" i="1" l="1"/>
  <c r="C606" i="1" a="1"/>
  <c r="C606" i="1" s="1"/>
  <c r="B608" i="1" l="1"/>
  <c r="C607" i="1" a="1"/>
  <c r="C607" i="1" s="1"/>
  <c r="B609" i="1" l="1"/>
  <c r="C608" i="1" a="1"/>
  <c r="C608" i="1" s="1"/>
  <c r="B610" i="1" l="1"/>
  <c r="C609" i="1" a="1"/>
  <c r="C609" i="1" s="1"/>
  <c r="B611" i="1" l="1"/>
  <c r="C610" i="1" a="1"/>
  <c r="C610" i="1" s="1"/>
  <c r="B612" i="1" l="1"/>
  <c r="C611" i="1" a="1"/>
  <c r="C611" i="1" s="1"/>
  <c r="B613" i="1" l="1"/>
  <c r="C612" i="1" a="1"/>
  <c r="C612" i="1" s="1"/>
  <c r="B614" i="1" l="1"/>
  <c r="C613" i="1" a="1"/>
  <c r="C613" i="1" s="1"/>
  <c r="B615" i="1" l="1"/>
  <c r="C614" i="1" a="1"/>
  <c r="C614" i="1" s="1"/>
  <c r="B616" i="1" l="1"/>
  <c r="C615" i="1" a="1"/>
  <c r="C615" i="1" s="1"/>
  <c r="B617" i="1" l="1"/>
  <c r="C616" i="1" a="1"/>
  <c r="C616" i="1" s="1"/>
  <c r="B618" i="1" l="1"/>
  <c r="C617" i="1" a="1"/>
  <c r="C617" i="1" s="1"/>
  <c r="B619" i="1" l="1"/>
  <c r="C618" i="1" a="1"/>
  <c r="C618" i="1" s="1"/>
  <c r="B620" i="1" l="1"/>
  <c r="C619" i="1" a="1"/>
  <c r="C619" i="1" s="1"/>
  <c r="B621" i="1" l="1"/>
  <c r="C620" i="1" a="1"/>
  <c r="C620" i="1" s="1"/>
  <c r="B622" i="1" l="1"/>
  <c r="C621" i="1" a="1"/>
  <c r="C621" i="1" s="1"/>
  <c r="B623" i="1" l="1"/>
  <c r="C622" i="1" a="1"/>
  <c r="C622" i="1" s="1"/>
  <c r="B624" i="1" l="1"/>
  <c r="C623" i="1" a="1"/>
  <c r="C623" i="1" s="1"/>
  <c r="B625" i="1" l="1"/>
  <c r="C624" i="1" a="1"/>
  <c r="C624" i="1" s="1"/>
  <c r="B626" i="1" l="1"/>
  <c r="C625" i="1" a="1"/>
  <c r="C625" i="1" s="1"/>
  <c r="B627" i="1" l="1"/>
  <c r="C626" i="1" a="1"/>
  <c r="C626" i="1" s="1"/>
  <c r="B628" i="1" l="1"/>
  <c r="C627" i="1" a="1"/>
  <c r="C627" i="1" s="1"/>
  <c r="B629" i="1" l="1"/>
  <c r="C628" i="1" a="1"/>
  <c r="C628" i="1" s="1"/>
  <c r="B630" i="1" l="1"/>
  <c r="C629" i="1" a="1"/>
  <c r="C629" i="1" s="1"/>
  <c r="B631" i="1" l="1"/>
  <c r="C630" i="1" a="1"/>
  <c r="C630" i="1" s="1"/>
  <c r="B632" i="1" l="1"/>
  <c r="C631" i="1" a="1"/>
  <c r="C631" i="1" s="1"/>
  <c r="B633" i="1" l="1"/>
  <c r="C632" i="1" a="1"/>
  <c r="C632" i="1" s="1"/>
  <c r="B634" i="1" l="1"/>
  <c r="C633" i="1" a="1"/>
  <c r="C633" i="1" s="1"/>
  <c r="B635" i="1" l="1"/>
  <c r="C634" i="1" a="1"/>
  <c r="C634" i="1" s="1"/>
  <c r="B636" i="1" l="1"/>
  <c r="C635" i="1" a="1"/>
  <c r="C635" i="1" s="1"/>
  <c r="B637" i="1" l="1"/>
  <c r="C636" i="1" a="1"/>
  <c r="C636" i="1" s="1"/>
  <c r="B638" i="1" l="1"/>
  <c r="C637" i="1" a="1"/>
  <c r="C637" i="1" s="1"/>
  <c r="B639" i="1" l="1"/>
  <c r="C638" i="1" a="1"/>
  <c r="C638" i="1" s="1"/>
  <c r="B640" i="1" l="1"/>
  <c r="C639" i="1" a="1"/>
  <c r="C639" i="1" s="1"/>
  <c r="B641" i="1" l="1"/>
  <c r="C640" i="1" a="1"/>
  <c r="C640" i="1" s="1"/>
  <c r="B642" i="1" l="1"/>
  <c r="C641" i="1" a="1"/>
  <c r="C641" i="1" s="1"/>
  <c r="B643" i="1" l="1"/>
  <c r="C642" i="1" a="1"/>
  <c r="C642" i="1" s="1"/>
  <c r="B644" i="1" l="1"/>
  <c r="C643" i="1" a="1"/>
  <c r="C643" i="1" s="1"/>
  <c r="B645" i="1" l="1"/>
  <c r="C644" i="1" a="1"/>
  <c r="C644" i="1" s="1"/>
  <c r="B646" i="1" l="1"/>
  <c r="C645" i="1" a="1"/>
  <c r="C645" i="1" s="1"/>
  <c r="B647" i="1" l="1"/>
  <c r="C646" i="1" a="1"/>
  <c r="C646" i="1" s="1"/>
  <c r="B648" i="1" l="1"/>
  <c r="C647" i="1" a="1"/>
  <c r="C647" i="1" s="1"/>
  <c r="B649" i="1" l="1"/>
  <c r="C648" i="1" a="1"/>
  <c r="C648" i="1" s="1"/>
  <c r="B650" i="1" l="1"/>
  <c r="C649" i="1" a="1"/>
  <c r="C649" i="1" s="1"/>
  <c r="B651" i="1" l="1"/>
  <c r="C650" i="1" a="1"/>
  <c r="C650" i="1" s="1"/>
  <c r="B652" i="1" l="1"/>
  <c r="C651" i="1" a="1"/>
  <c r="C651" i="1" s="1"/>
  <c r="B653" i="1" l="1"/>
  <c r="C652" i="1" a="1"/>
  <c r="C652" i="1" s="1"/>
  <c r="B654" i="1" l="1"/>
  <c r="C653" i="1" a="1"/>
  <c r="C653" i="1" s="1"/>
  <c r="B655" i="1" l="1"/>
  <c r="C654" i="1" a="1"/>
  <c r="C654" i="1" s="1"/>
  <c r="B656" i="1" l="1"/>
  <c r="C655" i="1" a="1"/>
  <c r="C655" i="1" s="1"/>
  <c r="B657" i="1" l="1"/>
  <c r="C656" i="1" a="1"/>
  <c r="C656" i="1" s="1"/>
  <c r="B658" i="1" l="1"/>
  <c r="C657" i="1" a="1"/>
  <c r="C657" i="1" s="1"/>
  <c r="B659" i="1" l="1"/>
  <c r="C658" i="1" a="1"/>
  <c r="C658" i="1" s="1"/>
  <c r="B660" i="1" l="1"/>
  <c r="C659" i="1" a="1"/>
  <c r="C659" i="1" s="1"/>
  <c r="B661" i="1" l="1"/>
  <c r="C660" i="1" a="1"/>
  <c r="C660" i="1" s="1"/>
  <c r="B662" i="1" l="1"/>
  <c r="C661" i="1" a="1"/>
  <c r="C661" i="1" s="1"/>
  <c r="B663" i="1" l="1"/>
  <c r="C662" i="1" a="1"/>
  <c r="C662" i="1" s="1"/>
  <c r="B664" i="1" l="1"/>
  <c r="C663" i="1" a="1"/>
  <c r="C663" i="1" s="1"/>
  <c r="B665" i="1" l="1"/>
  <c r="C664" i="1" a="1"/>
  <c r="C664" i="1" s="1"/>
  <c r="B666" i="1" l="1"/>
  <c r="C665" i="1" a="1"/>
  <c r="C665" i="1" s="1"/>
  <c r="B667" i="1" l="1"/>
  <c r="C666" i="1" a="1"/>
  <c r="C666" i="1" s="1"/>
  <c r="B668" i="1" l="1"/>
  <c r="C667" i="1" a="1"/>
  <c r="C667" i="1" s="1"/>
  <c r="B669" i="1" l="1"/>
  <c r="C668" i="1" a="1"/>
  <c r="C668" i="1" s="1"/>
  <c r="B670" i="1" l="1"/>
  <c r="C669" i="1" a="1"/>
  <c r="C669" i="1" s="1"/>
  <c r="B671" i="1" l="1"/>
  <c r="C670" i="1" a="1"/>
  <c r="C670" i="1" s="1"/>
  <c r="B672" i="1" l="1"/>
  <c r="C671" i="1" a="1"/>
  <c r="C671" i="1" s="1"/>
  <c r="B673" i="1" l="1"/>
  <c r="C672" i="1" a="1"/>
  <c r="C672" i="1" s="1"/>
  <c r="B674" i="1" l="1"/>
  <c r="C673" i="1" a="1"/>
  <c r="C673" i="1" s="1"/>
  <c r="B675" i="1" l="1"/>
  <c r="C674" i="1" a="1"/>
  <c r="C674" i="1" s="1"/>
  <c r="B676" i="1" l="1"/>
  <c r="C675" i="1" a="1"/>
  <c r="C675" i="1" s="1"/>
  <c r="B677" i="1" l="1"/>
  <c r="C676" i="1" a="1"/>
  <c r="C676" i="1" s="1"/>
  <c r="B678" i="1" l="1"/>
  <c r="C677" i="1" a="1"/>
  <c r="C677" i="1" s="1"/>
  <c r="B679" i="1" l="1"/>
  <c r="C678" i="1" a="1"/>
  <c r="C678" i="1" s="1"/>
  <c r="B680" i="1" l="1"/>
  <c r="C679" i="1" a="1"/>
  <c r="C679" i="1" s="1"/>
  <c r="B681" i="1" l="1"/>
  <c r="C680" i="1" a="1"/>
  <c r="C680" i="1" s="1"/>
  <c r="B682" i="1" l="1"/>
  <c r="C681" i="1" a="1"/>
  <c r="C681" i="1" s="1"/>
  <c r="B683" i="1" l="1"/>
  <c r="C682" i="1" a="1"/>
  <c r="C682" i="1" s="1"/>
  <c r="B684" i="1" l="1"/>
  <c r="C683" i="1" a="1"/>
  <c r="C683" i="1" s="1"/>
  <c r="B685" i="1" l="1"/>
  <c r="C684" i="1" a="1"/>
  <c r="C684" i="1" s="1"/>
  <c r="B686" i="1" l="1"/>
  <c r="C685" i="1" a="1"/>
  <c r="C685" i="1" s="1"/>
  <c r="B687" i="1" l="1"/>
  <c r="C686" i="1" a="1"/>
  <c r="C686" i="1" s="1"/>
  <c r="B688" i="1" l="1"/>
  <c r="C687" i="1" a="1"/>
  <c r="C687" i="1" s="1"/>
  <c r="B689" i="1" l="1"/>
  <c r="C688" i="1" a="1"/>
  <c r="C688" i="1" s="1"/>
  <c r="B690" i="1" l="1"/>
  <c r="C689" i="1" a="1"/>
  <c r="C689" i="1" s="1"/>
  <c r="B691" i="1" l="1"/>
  <c r="C690" i="1" a="1"/>
  <c r="C690" i="1" s="1"/>
  <c r="B692" i="1" l="1"/>
  <c r="C691" i="1" a="1"/>
  <c r="C691" i="1" s="1"/>
  <c r="B693" i="1" l="1"/>
  <c r="C692" i="1" a="1"/>
  <c r="C692" i="1" s="1"/>
  <c r="B694" i="1" l="1"/>
  <c r="C693" i="1" a="1"/>
  <c r="C693" i="1" s="1"/>
  <c r="B695" i="1" l="1"/>
  <c r="C694" i="1" a="1"/>
  <c r="C694" i="1" s="1"/>
  <c r="B696" i="1" l="1"/>
  <c r="C695" i="1" a="1"/>
  <c r="C695" i="1" s="1"/>
  <c r="B697" i="1" l="1"/>
  <c r="C696" i="1" a="1"/>
  <c r="C696" i="1" s="1"/>
  <c r="B698" i="1" l="1"/>
  <c r="C697" i="1" a="1"/>
  <c r="C697" i="1" s="1"/>
  <c r="B699" i="1" l="1"/>
  <c r="C698" i="1" a="1"/>
  <c r="C698" i="1" s="1"/>
  <c r="B700" i="1" l="1"/>
  <c r="C699" i="1" a="1"/>
  <c r="C699" i="1" s="1"/>
  <c r="B701" i="1" l="1"/>
  <c r="C700" i="1" a="1"/>
  <c r="C700" i="1" s="1"/>
  <c r="B702" i="1" l="1"/>
  <c r="C701" i="1" a="1"/>
  <c r="C701" i="1" s="1"/>
  <c r="B703" i="1" l="1"/>
  <c r="C702" i="1" a="1"/>
  <c r="C702" i="1" s="1"/>
  <c r="B704" i="1" l="1"/>
  <c r="C703" i="1" a="1"/>
  <c r="C703" i="1" s="1"/>
  <c r="B705" i="1" l="1"/>
  <c r="C704" i="1" a="1"/>
  <c r="C704" i="1" s="1"/>
  <c r="B706" i="1" l="1"/>
  <c r="C705" i="1" a="1"/>
  <c r="C705" i="1" s="1"/>
  <c r="B707" i="1" l="1"/>
  <c r="C706" i="1" a="1"/>
  <c r="C706" i="1" s="1"/>
  <c r="B708" i="1" l="1"/>
  <c r="C707" i="1" a="1"/>
  <c r="C707" i="1" s="1"/>
  <c r="B709" i="1" l="1"/>
  <c r="C708" i="1" a="1"/>
  <c r="C708" i="1" s="1"/>
  <c r="B710" i="1" l="1"/>
  <c r="C709" i="1" a="1"/>
  <c r="C709" i="1" s="1"/>
  <c r="B711" i="1" l="1"/>
  <c r="C710" i="1" a="1"/>
  <c r="C710" i="1" s="1"/>
  <c r="B712" i="1" l="1"/>
  <c r="C711" i="1" a="1"/>
  <c r="C711" i="1" s="1"/>
  <c r="B713" i="1" l="1"/>
  <c r="C712" i="1" a="1"/>
  <c r="C712" i="1" s="1"/>
  <c r="B714" i="1" l="1"/>
  <c r="C713" i="1" a="1"/>
  <c r="C713" i="1" s="1"/>
  <c r="B715" i="1" l="1"/>
  <c r="C714" i="1" a="1"/>
  <c r="C714" i="1" s="1"/>
  <c r="B716" i="1" l="1"/>
  <c r="C715" i="1" a="1"/>
  <c r="C715" i="1" s="1"/>
  <c r="B717" i="1" l="1"/>
  <c r="C716" i="1" a="1"/>
  <c r="C716" i="1" s="1"/>
  <c r="B718" i="1" l="1"/>
  <c r="C717" i="1" a="1"/>
  <c r="C717" i="1" s="1"/>
  <c r="B719" i="1" l="1"/>
  <c r="C718" i="1" a="1"/>
  <c r="C718" i="1" s="1"/>
  <c r="B720" i="1" l="1"/>
  <c r="C719" i="1" a="1"/>
  <c r="C719" i="1" s="1"/>
  <c r="B721" i="1" l="1"/>
  <c r="C720" i="1" a="1"/>
  <c r="C720" i="1" s="1"/>
  <c r="B722" i="1" l="1"/>
  <c r="C721" i="1" a="1"/>
  <c r="C721" i="1" s="1"/>
  <c r="B723" i="1" l="1"/>
  <c r="C722" i="1" a="1"/>
  <c r="C722" i="1" s="1"/>
  <c r="B724" i="1" l="1"/>
  <c r="C723" i="1" a="1"/>
  <c r="C723" i="1" s="1"/>
  <c r="B725" i="1" l="1"/>
  <c r="C724" i="1" a="1"/>
  <c r="C724" i="1" s="1"/>
  <c r="B726" i="1" l="1"/>
  <c r="C725" i="1" a="1"/>
  <c r="C725" i="1" s="1"/>
  <c r="B727" i="1" l="1"/>
  <c r="C726" i="1" a="1"/>
  <c r="C726" i="1" s="1"/>
  <c r="B728" i="1" l="1"/>
  <c r="C727" i="1" a="1"/>
  <c r="C727" i="1" s="1"/>
  <c r="B729" i="1" l="1"/>
  <c r="C728" i="1" a="1"/>
  <c r="C728" i="1" s="1"/>
  <c r="B730" i="1" l="1"/>
  <c r="C729" i="1" a="1"/>
  <c r="C729" i="1" s="1"/>
  <c r="B731" i="1" l="1"/>
  <c r="C730" i="1" a="1"/>
  <c r="C730" i="1" s="1"/>
  <c r="B732" i="1" l="1"/>
  <c r="C731" i="1" a="1"/>
  <c r="C731" i="1" s="1"/>
  <c r="B733" i="1" l="1"/>
  <c r="C732" i="1" a="1"/>
  <c r="C732" i="1" s="1"/>
  <c r="B734" i="1" l="1"/>
  <c r="C733" i="1" a="1"/>
  <c r="C733" i="1" s="1"/>
  <c r="B735" i="1" l="1"/>
  <c r="C734" i="1" a="1"/>
  <c r="C734" i="1" s="1"/>
  <c r="B736" i="1" l="1"/>
  <c r="C735" i="1" a="1"/>
  <c r="C735" i="1" s="1"/>
  <c r="B737" i="1" l="1"/>
  <c r="C736" i="1" a="1"/>
  <c r="C736" i="1" s="1"/>
  <c r="B738" i="1" l="1"/>
  <c r="C737" i="1" a="1"/>
  <c r="C737" i="1" s="1"/>
  <c r="B739" i="1" l="1"/>
  <c r="C738" i="1" a="1"/>
  <c r="C738" i="1" s="1"/>
  <c r="B740" i="1" l="1"/>
  <c r="C739" i="1" a="1"/>
  <c r="C739" i="1" s="1"/>
  <c r="B741" i="1" l="1"/>
  <c r="C740" i="1" a="1"/>
  <c r="C740" i="1" s="1"/>
  <c r="B742" i="1" l="1"/>
  <c r="C741" i="1" a="1"/>
  <c r="C741" i="1" s="1"/>
  <c r="B743" i="1" l="1"/>
  <c r="C742" i="1" a="1"/>
  <c r="C742" i="1" s="1"/>
  <c r="B744" i="1" l="1"/>
  <c r="C743" i="1" a="1"/>
  <c r="C743" i="1" s="1"/>
  <c r="B745" i="1" l="1"/>
  <c r="C744" i="1" a="1"/>
  <c r="C744" i="1" s="1"/>
  <c r="B746" i="1" l="1"/>
  <c r="C745" i="1" a="1"/>
  <c r="C745" i="1" s="1"/>
  <c r="B747" i="1" l="1"/>
  <c r="C746" i="1" a="1"/>
  <c r="C746" i="1" s="1"/>
  <c r="B748" i="1" l="1"/>
  <c r="C747" i="1" a="1"/>
  <c r="C747" i="1" s="1"/>
  <c r="B749" i="1" l="1"/>
  <c r="C748" i="1" a="1"/>
  <c r="C748" i="1" s="1"/>
  <c r="B750" i="1" l="1"/>
  <c r="C749" i="1" a="1"/>
  <c r="C749" i="1" s="1"/>
  <c r="B751" i="1" l="1"/>
  <c r="C750" i="1" a="1"/>
  <c r="C750" i="1" s="1"/>
  <c r="B752" i="1" l="1"/>
  <c r="C751" i="1" a="1"/>
  <c r="C751" i="1" s="1"/>
  <c r="B753" i="1" l="1"/>
  <c r="C752" i="1" a="1"/>
  <c r="C752" i="1" s="1"/>
  <c r="B754" i="1" l="1"/>
  <c r="C753" i="1" a="1"/>
  <c r="C753" i="1" s="1"/>
  <c r="B755" i="1" l="1"/>
  <c r="C754" i="1" a="1"/>
  <c r="C754" i="1" s="1"/>
  <c r="B756" i="1" l="1"/>
  <c r="C755" i="1" a="1"/>
  <c r="C755" i="1" s="1"/>
  <c r="B757" i="1" l="1"/>
  <c r="C756" i="1" a="1"/>
  <c r="C756" i="1" s="1"/>
  <c r="B758" i="1" l="1"/>
  <c r="C757" i="1" a="1"/>
  <c r="C757" i="1" s="1"/>
  <c r="B759" i="1" l="1"/>
  <c r="C758" i="1" a="1"/>
  <c r="C758" i="1" s="1"/>
  <c r="B760" i="1" l="1"/>
  <c r="C759" i="1" a="1"/>
  <c r="C759" i="1" s="1"/>
  <c r="B761" i="1" l="1"/>
  <c r="C760" i="1" a="1"/>
  <c r="C760" i="1" s="1"/>
  <c r="B762" i="1" l="1"/>
  <c r="C761" i="1" a="1"/>
  <c r="C761" i="1" s="1"/>
  <c r="B763" i="1" l="1"/>
  <c r="C762" i="1" a="1"/>
  <c r="C762" i="1" s="1"/>
  <c r="B764" i="1" l="1"/>
  <c r="C763" i="1" a="1"/>
  <c r="C763" i="1" s="1"/>
  <c r="B765" i="1" l="1"/>
  <c r="C764" i="1" a="1"/>
  <c r="C764" i="1" s="1"/>
  <c r="B766" i="1" l="1"/>
  <c r="C765" i="1" a="1"/>
  <c r="C765" i="1" s="1"/>
  <c r="B767" i="1" l="1"/>
  <c r="C766" i="1" a="1"/>
  <c r="C766" i="1" s="1"/>
  <c r="B768" i="1" l="1"/>
  <c r="C767" i="1" a="1"/>
  <c r="C767" i="1" s="1"/>
  <c r="B769" i="1" l="1"/>
  <c r="C768" i="1" a="1"/>
  <c r="C768" i="1" s="1"/>
  <c r="B770" i="1" l="1"/>
  <c r="C769" i="1" a="1"/>
  <c r="C769" i="1" s="1"/>
  <c r="B771" i="1" l="1"/>
  <c r="C770" i="1" a="1"/>
  <c r="C770" i="1" s="1"/>
  <c r="B772" i="1" l="1"/>
  <c r="C771" i="1" a="1"/>
  <c r="C771" i="1" s="1"/>
  <c r="B773" i="1" l="1"/>
  <c r="C772" i="1" a="1"/>
  <c r="C772" i="1" s="1"/>
  <c r="B774" i="1" l="1"/>
  <c r="C773" i="1" a="1"/>
  <c r="C773" i="1" s="1"/>
  <c r="B775" i="1" l="1"/>
  <c r="C774" i="1" a="1"/>
  <c r="C774" i="1" s="1"/>
  <c r="B776" i="1" l="1"/>
  <c r="C775" i="1" a="1"/>
  <c r="C775" i="1" s="1"/>
  <c r="B777" i="1" l="1"/>
  <c r="C776" i="1" a="1"/>
  <c r="C776" i="1" s="1"/>
  <c r="B778" i="1" l="1"/>
  <c r="C777" i="1" a="1"/>
  <c r="C777" i="1" s="1"/>
  <c r="B779" i="1" l="1"/>
  <c r="C778" i="1" a="1"/>
  <c r="C778" i="1" s="1"/>
  <c r="B780" i="1" l="1"/>
  <c r="C779" i="1" a="1"/>
  <c r="C779" i="1" s="1"/>
  <c r="B781" i="1" l="1"/>
  <c r="C780" i="1" a="1"/>
  <c r="C780" i="1" s="1"/>
  <c r="B782" i="1" l="1"/>
  <c r="C781" i="1" a="1"/>
  <c r="C781" i="1" s="1"/>
  <c r="B783" i="1" l="1"/>
  <c r="C782" i="1" a="1"/>
  <c r="C782" i="1" s="1"/>
  <c r="B784" i="1" l="1"/>
  <c r="C783" i="1" a="1"/>
  <c r="C783" i="1" s="1"/>
  <c r="B785" i="1" l="1"/>
  <c r="C784" i="1" a="1"/>
  <c r="C784" i="1" s="1"/>
  <c r="B786" i="1" l="1"/>
  <c r="C785" i="1" a="1"/>
  <c r="C785" i="1" s="1"/>
  <c r="B787" i="1" l="1"/>
  <c r="C786" i="1" a="1"/>
  <c r="C786" i="1" s="1"/>
  <c r="B788" i="1" l="1"/>
  <c r="C787" i="1" a="1"/>
  <c r="C787" i="1" s="1"/>
  <c r="B789" i="1" l="1"/>
  <c r="C788" i="1" a="1"/>
  <c r="C788" i="1" s="1"/>
  <c r="B790" i="1" l="1"/>
  <c r="C789" i="1" a="1"/>
  <c r="C789" i="1" s="1"/>
  <c r="B791" i="1" l="1"/>
  <c r="C790" i="1" a="1"/>
  <c r="C790" i="1" s="1"/>
  <c r="B792" i="1" l="1"/>
  <c r="C791" i="1" a="1"/>
  <c r="C791" i="1" s="1"/>
  <c r="B793" i="1" l="1"/>
  <c r="C792" i="1" a="1"/>
  <c r="C792" i="1" s="1"/>
  <c r="B794" i="1" l="1"/>
  <c r="C793" i="1" a="1"/>
  <c r="C793" i="1" s="1"/>
  <c r="B795" i="1" l="1"/>
  <c r="C794" i="1" a="1"/>
  <c r="C794" i="1" s="1"/>
  <c r="B796" i="1" l="1"/>
  <c r="C795" i="1" a="1"/>
  <c r="C795" i="1" s="1"/>
  <c r="B797" i="1" l="1"/>
  <c r="C796" i="1" a="1"/>
  <c r="C796" i="1" s="1"/>
  <c r="B798" i="1" l="1"/>
  <c r="C797" i="1" a="1"/>
  <c r="C797" i="1" s="1"/>
  <c r="B799" i="1" l="1"/>
  <c r="C798" i="1" a="1"/>
  <c r="C798" i="1" s="1"/>
  <c r="B800" i="1" l="1"/>
  <c r="C799" i="1" a="1"/>
  <c r="C799" i="1" s="1"/>
  <c r="B801" i="1" l="1"/>
  <c r="C800" i="1" a="1"/>
  <c r="C800" i="1" s="1"/>
  <c r="B802" i="1" l="1"/>
  <c r="C801" i="1" a="1"/>
  <c r="C801" i="1" s="1"/>
  <c r="B803" i="1" l="1"/>
  <c r="C802" i="1" a="1"/>
  <c r="C802" i="1" s="1"/>
  <c r="B804" i="1" l="1"/>
  <c r="C803" i="1" a="1"/>
  <c r="C803" i="1" s="1"/>
  <c r="B805" i="1" l="1"/>
  <c r="C804" i="1" a="1"/>
  <c r="C804" i="1" s="1"/>
  <c r="B806" i="1" l="1"/>
  <c r="C805" i="1" a="1"/>
  <c r="C805" i="1" s="1"/>
  <c r="B807" i="1" l="1"/>
  <c r="C806" i="1" a="1"/>
  <c r="C806" i="1" s="1"/>
  <c r="B808" i="1" l="1"/>
  <c r="C807" i="1" a="1"/>
  <c r="C807" i="1" s="1"/>
  <c r="B809" i="1" l="1"/>
  <c r="C808" i="1" a="1"/>
  <c r="C808" i="1" s="1"/>
  <c r="B810" i="1" l="1"/>
  <c r="C809" i="1" a="1"/>
  <c r="C809" i="1" s="1"/>
  <c r="B811" i="1" l="1"/>
  <c r="C810" i="1" a="1"/>
  <c r="C810" i="1" s="1"/>
  <c r="B812" i="1" l="1"/>
  <c r="C811" i="1" a="1"/>
  <c r="C811" i="1" s="1"/>
  <c r="B813" i="1" l="1"/>
  <c r="C812" i="1" a="1"/>
  <c r="C812" i="1" s="1"/>
  <c r="B814" i="1" l="1"/>
  <c r="C813" i="1" a="1"/>
  <c r="C813" i="1" s="1"/>
  <c r="B815" i="1" l="1"/>
  <c r="C814" i="1" a="1"/>
  <c r="C814" i="1" s="1"/>
  <c r="B816" i="1" l="1"/>
  <c r="C815" i="1" a="1"/>
  <c r="C815" i="1" s="1"/>
  <c r="B817" i="1" l="1"/>
  <c r="C816" i="1" a="1"/>
  <c r="C816" i="1" s="1"/>
  <c r="B818" i="1" l="1"/>
  <c r="C817" i="1" a="1"/>
  <c r="C817" i="1" s="1"/>
  <c r="B819" i="1" l="1"/>
  <c r="C818" i="1" a="1"/>
  <c r="C818" i="1" s="1"/>
  <c r="B820" i="1" l="1"/>
  <c r="C819" i="1" a="1"/>
  <c r="C819" i="1" s="1"/>
  <c r="B821" i="1" l="1"/>
  <c r="C820" i="1" a="1"/>
  <c r="C820" i="1" s="1"/>
  <c r="B822" i="1" l="1"/>
  <c r="C821" i="1" a="1"/>
  <c r="C821" i="1" s="1"/>
  <c r="B823" i="1" l="1"/>
  <c r="C822" i="1" a="1"/>
  <c r="C822" i="1" s="1"/>
  <c r="B824" i="1" l="1"/>
  <c r="C823" i="1" a="1"/>
  <c r="C823" i="1" s="1"/>
  <c r="B825" i="1" l="1"/>
  <c r="C824" i="1" a="1"/>
  <c r="C824" i="1" s="1"/>
  <c r="B826" i="1" l="1"/>
  <c r="C825" i="1" a="1"/>
  <c r="C825" i="1" s="1"/>
  <c r="B827" i="1" l="1"/>
  <c r="C826" i="1" a="1"/>
  <c r="C826" i="1" s="1"/>
  <c r="B828" i="1" l="1"/>
  <c r="C827" i="1" a="1"/>
  <c r="C827" i="1" s="1"/>
  <c r="B829" i="1" l="1"/>
  <c r="C828" i="1" a="1"/>
  <c r="C828" i="1" s="1"/>
  <c r="B830" i="1" l="1"/>
  <c r="C829" i="1" a="1"/>
  <c r="C829" i="1" s="1"/>
  <c r="B831" i="1" l="1"/>
  <c r="C830" i="1" a="1"/>
  <c r="C830" i="1" s="1"/>
  <c r="B832" i="1" l="1"/>
  <c r="C831" i="1" a="1"/>
  <c r="C831" i="1" s="1"/>
  <c r="B833" i="1" l="1"/>
  <c r="C832" i="1" a="1"/>
  <c r="C832" i="1" s="1"/>
  <c r="B834" i="1" l="1"/>
  <c r="C833" i="1" a="1"/>
  <c r="C833" i="1" s="1"/>
  <c r="B835" i="1" l="1"/>
  <c r="C834" i="1" a="1"/>
  <c r="C834" i="1" s="1"/>
  <c r="B836" i="1" l="1"/>
  <c r="C835" i="1" a="1"/>
  <c r="C835" i="1" s="1"/>
  <c r="B837" i="1" l="1"/>
  <c r="C836" i="1" a="1"/>
  <c r="C836" i="1" s="1"/>
  <c r="B838" i="1" l="1"/>
  <c r="C837" i="1" a="1"/>
  <c r="C837" i="1" s="1"/>
  <c r="B839" i="1" l="1"/>
  <c r="C838" i="1" a="1"/>
  <c r="C838" i="1" s="1"/>
  <c r="B840" i="1" l="1"/>
  <c r="C839" i="1" a="1"/>
  <c r="C839" i="1" s="1"/>
  <c r="B841" i="1" l="1"/>
  <c r="C840" i="1" a="1"/>
  <c r="C840" i="1" s="1"/>
  <c r="B842" i="1" l="1"/>
  <c r="C841" i="1" a="1"/>
  <c r="C841" i="1" s="1"/>
  <c r="B843" i="1" l="1"/>
  <c r="C842" i="1" a="1"/>
  <c r="C842" i="1" s="1"/>
  <c r="B844" i="1" l="1"/>
  <c r="C843" i="1" a="1"/>
  <c r="C843" i="1" s="1"/>
  <c r="B845" i="1" l="1"/>
  <c r="C844" i="1" a="1"/>
  <c r="C844" i="1" s="1"/>
  <c r="B846" i="1" l="1"/>
  <c r="C845" i="1" a="1"/>
  <c r="C845" i="1" s="1"/>
  <c r="B847" i="1" l="1"/>
  <c r="C846" i="1" a="1"/>
  <c r="C846" i="1" s="1"/>
  <c r="B848" i="1" l="1"/>
  <c r="C847" i="1" a="1"/>
  <c r="C847" i="1" s="1"/>
  <c r="B849" i="1" l="1"/>
  <c r="C848" i="1" a="1"/>
  <c r="C848" i="1" s="1"/>
  <c r="B850" i="1" l="1"/>
  <c r="C849" i="1" a="1"/>
  <c r="C849" i="1" s="1"/>
  <c r="B851" i="1" l="1"/>
  <c r="C850" i="1" a="1"/>
  <c r="C850" i="1" s="1"/>
  <c r="B852" i="1" l="1"/>
  <c r="C851" i="1" a="1"/>
  <c r="C851" i="1" s="1"/>
  <c r="B853" i="1" l="1"/>
  <c r="C852" i="1" a="1"/>
  <c r="C852" i="1" s="1"/>
  <c r="B854" i="1" l="1"/>
  <c r="C853" i="1" a="1"/>
  <c r="C853" i="1" s="1"/>
  <c r="B855" i="1" l="1"/>
  <c r="C854" i="1" a="1"/>
  <c r="C854" i="1" s="1"/>
  <c r="B856" i="1" l="1"/>
  <c r="C855" i="1" a="1"/>
  <c r="C855" i="1" s="1"/>
  <c r="B857" i="1" l="1"/>
  <c r="C856" i="1" a="1"/>
  <c r="C856" i="1" s="1"/>
  <c r="B858" i="1" l="1"/>
  <c r="C857" i="1" a="1"/>
  <c r="C857" i="1" s="1"/>
  <c r="B859" i="1" l="1"/>
  <c r="C858" i="1" a="1"/>
  <c r="C858" i="1" s="1"/>
  <c r="B860" i="1" l="1"/>
  <c r="C859" i="1" a="1"/>
  <c r="C859" i="1" s="1"/>
  <c r="B861" i="1" l="1"/>
  <c r="C860" i="1" a="1"/>
  <c r="C860" i="1" s="1"/>
  <c r="B862" i="1" l="1"/>
  <c r="C861" i="1" a="1"/>
  <c r="C861" i="1" s="1"/>
  <c r="B863" i="1" l="1"/>
  <c r="C862" i="1" a="1"/>
  <c r="C862" i="1" s="1"/>
  <c r="B864" i="1" l="1"/>
  <c r="C863" i="1" a="1"/>
  <c r="C863" i="1" s="1"/>
  <c r="B865" i="1" l="1"/>
  <c r="C864" i="1" a="1"/>
  <c r="C864" i="1" s="1"/>
  <c r="B866" i="1" l="1"/>
  <c r="C865" i="1" a="1"/>
  <c r="C865" i="1" s="1"/>
  <c r="B867" i="1" l="1"/>
  <c r="C866" i="1" a="1"/>
  <c r="C866" i="1" s="1"/>
  <c r="B868" i="1" l="1"/>
  <c r="C867" i="1" a="1"/>
  <c r="C867" i="1" s="1"/>
  <c r="B869" i="1" l="1"/>
  <c r="C868" i="1" a="1"/>
  <c r="C868" i="1" s="1"/>
  <c r="B870" i="1" l="1"/>
  <c r="C869" i="1" a="1"/>
  <c r="C869" i="1" s="1"/>
  <c r="B871" i="1" l="1"/>
  <c r="C870" i="1" a="1"/>
  <c r="C870" i="1" s="1"/>
  <c r="B872" i="1" l="1"/>
  <c r="C871" i="1" a="1"/>
  <c r="C871" i="1" s="1"/>
  <c r="B873" i="1" l="1"/>
  <c r="C872" i="1" a="1"/>
  <c r="C872" i="1" s="1"/>
  <c r="B874" i="1" l="1"/>
  <c r="C873" i="1" a="1"/>
  <c r="C873" i="1" s="1"/>
  <c r="B875" i="1" l="1"/>
  <c r="C874" i="1" a="1"/>
  <c r="C874" i="1" s="1"/>
  <c r="B876" i="1" l="1"/>
  <c r="C875" i="1" a="1"/>
  <c r="C875" i="1" s="1"/>
  <c r="B877" i="1" l="1"/>
  <c r="C876" i="1" a="1"/>
  <c r="C876" i="1" s="1"/>
  <c r="B878" i="1" l="1"/>
  <c r="C877" i="1" a="1"/>
  <c r="C877" i="1" s="1"/>
  <c r="B879" i="1" l="1"/>
  <c r="C878" i="1" a="1"/>
  <c r="C878" i="1" s="1"/>
  <c r="B880" i="1" l="1"/>
  <c r="C879" i="1" a="1"/>
  <c r="C879" i="1" s="1"/>
  <c r="B881" i="1" l="1"/>
  <c r="C880" i="1" a="1"/>
  <c r="C880" i="1" s="1"/>
  <c r="B882" i="1" l="1"/>
  <c r="C881" i="1" a="1"/>
  <c r="C881" i="1" s="1"/>
  <c r="B883" i="1" l="1"/>
  <c r="C882" i="1" a="1"/>
  <c r="C882" i="1" s="1"/>
  <c r="B884" i="1" l="1"/>
  <c r="C883" i="1" a="1"/>
  <c r="C883" i="1" s="1"/>
  <c r="B885" i="1" l="1"/>
  <c r="C884" i="1" a="1"/>
  <c r="C884" i="1" s="1"/>
  <c r="B886" i="1" l="1"/>
  <c r="C885" i="1" a="1"/>
  <c r="C885" i="1" s="1"/>
  <c r="B887" i="1" l="1"/>
  <c r="C886" i="1" a="1"/>
  <c r="C886" i="1" s="1"/>
  <c r="B888" i="1" l="1"/>
  <c r="C887" i="1" a="1"/>
  <c r="C887" i="1" s="1"/>
  <c r="B889" i="1" l="1"/>
  <c r="C888" i="1" a="1"/>
  <c r="C888" i="1" s="1"/>
  <c r="B890" i="1" l="1"/>
  <c r="C889" i="1" a="1"/>
  <c r="C889" i="1" s="1"/>
  <c r="B891" i="1" l="1"/>
  <c r="C890" i="1" a="1"/>
  <c r="C890" i="1" s="1"/>
  <c r="B892" i="1" l="1"/>
  <c r="C891" i="1" a="1"/>
  <c r="C891" i="1" s="1"/>
  <c r="B893" i="1" l="1"/>
  <c r="C892" i="1" a="1"/>
  <c r="C892" i="1" s="1"/>
  <c r="B894" i="1" l="1"/>
  <c r="C893" i="1" a="1"/>
  <c r="C893" i="1" s="1"/>
  <c r="B895" i="1" l="1"/>
  <c r="C894" i="1" a="1"/>
  <c r="C894" i="1" s="1"/>
  <c r="B896" i="1" l="1"/>
  <c r="C895" i="1" a="1"/>
  <c r="C895" i="1" s="1"/>
  <c r="B897" i="1" l="1"/>
  <c r="C896" i="1" a="1"/>
  <c r="C896" i="1" s="1"/>
  <c r="B898" i="1" l="1"/>
  <c r="C897" i="1" a="1"/>
  <c r="C897" i="1" s="1"/>
  <c r="B899" i="1" l="1"/>
  <c r="C898" i="1" a="1"/>
  <c r="C898" i="1" s="1"/>
  <c r="B900" i="1" l="1"/>
  <c r="C899" i="1" a="1"/>
  <c r="C899" i="1" s="1"/>
  <c r="B901" i="1" l="1"/>
  <c r="C900" i="1" a="1"/>
  <c r="C900" i="1" s="1"/>
  <c r="B902" i="1" l="1"/>
  <c r="C901" i="1" a="1"/>
  <c r="C901" i="1" s="1"/>
  <c r="B903" i="1" l="1"/>
  <c r="C902" i="1" a="1"/>
  <c r="C902" i="1" s="1"/>
  <c r="B904" i="1" l="1"/>
  <c r="C903" i="1" a="1"/>
  <c r="C903" i="1" s="1"/>
  <c r="B905" i="1" l="1"/>
  <c r="C904" i="1" a="1"/>
  <c r="C904" i="1" s="1"/>
  <c r="B906" i="1" l="1"/>
  <c r="C905" i="1" a="1"/>
  <c r="C905" i="1" s="1"/>
  <c r="B907" i="1" l="1"/>
  <c r="C906" i="1" a="1"/>
  <c r="C906" i="1" s="1"/>
  <c r="B908" i="1" l="1"/>
  <c r="C907" i="1" a="1"/>
  <c r="C907" i="1" s="1"/>
  <c r="B909" i="1" l="1"/>
  <c r="C908" i="1" a="1"/>
  <c r="C908" i="1" s="1"/>
  <c r="B910" i="1" l="1"/>
  <c r="C909" i="1" a="1"/>
  <c r="C909" i="1" s="1"/>
  <c r="B911" i="1" l="1"/>
  <c r="C910" i="1" a="1"/>
  <c r="C910" i="1" s="1"/>
  <c r="B912" i="1" l="1"/>
  <c r="C911" i="1" a="1"/>
  <c r="C911" i="1" s="1"/>
  <c r="B913" i="1" l="1"/>
  <c r="C912" i="1" a="1"/>
  <c r="C912" i="1" s="1"/>
  <c r="B914" i="1" l="1"/>
  <c r="C913" i="1" a="1"/>
  <c r="C913" i="1" s="1"/>
  <c r="B915" i="1" l="1"/>
  <c r="C914" i="1" a="1"/>
  <c r="C914" i="1" s="1"/>
  <c r="B916" i="1" l="1"/>
  <c r="C915" i="1" a="1"/>
  <c r="C915" i="1" s="1"/>
  <c r="B917" i="1" l="1"/>
  <c r="C916" i="1" a="1"/>
  <c r="C916" i="1" s="1"/>
  <c r="B918" i="1" l="1"/>
  <c r="C917" i="1" a="1"/>
  <c r="C917" i="1" s="1"/>
  <c r="B919" i="1" l="1"/>
  <c r="C918" i="1" a="1"/>
  <c r="C918" i="1" s="1"/>
  <c r="B920" i="1" l="1"/>
  <c r="C919" i="1" a="1"/>
  <c r="C919" i="1" s="1"/>
  <c r="B921" i="1" l="1"/>
  <c r="C920" i="1" a="1"/>
  <c r="C920" i="1" s="1"/>
  <c r="B922" i="1" l="1"/>
  <c r="C921" i="1" a="1"/>
  <c r="C921" i="1" s="1"/>
  <c r="B923" i="1" l="1"/>
  <c r="C922" i="1" a="1"/>
  <c r="C922" i="1" s="1"/>
  <c r="B924" i="1" l="1"/>
  <c r="C923" i="1" a="1"/>
  <c r="C923" i="1" s="1"/>
  <c r="B925" i="1" l="1"/>
  <c r="C924" i="1" a="1"/>
  <c r="C924" i="1" s="1"/>
  <c r="B926" i="1" l="1"/>
  <c r="C925" i="1" a="1"/>
  <c r="C925" i="1" s="1"/>
  <c r="B927" i="1" l="1"/>
  <c r="C926" i="1" a="1"/>
  <c r="C926" i="1" s="1"/>
  <c r="B928" i="1" l="1"/>
  <c r="C927" i="1" a="1"/>
  <c r="C927" i="1" s="1"/>
  <c r="B929" i="1" l="1"/>
  <c r="C928" i="1" a="1"/>
  <c r="C928" i="1" s="1"/>
  <c r="B930" i="1" l="1"/>
  <c r="C929" i="1" a="1"/>
  <c r="C929" i="1" s="1"/>
  <c r="B931" i="1" l="1"/>
  <c r="C930" i="1" a="1"/>
  <c r="C930" i="1" s="1"/>
  <c r="B932" i="1" l="1"/>
  <c r="C931" i="1" a="1"/>
  <c r="C931" i="1" s="1"/>
  <c r="B933" i="1" l="1"/>
  <c r="C932" i="1" a="1"/>
  <c r="C932" i="1" s="1"/>
  <c r="B934" i="1" l="1"/>
  <c r="C933" i="1" a="1"/>
  <c r="C933" i="1" s="1"/>
  <c r="B935" i="1" l="1"/>
  <c r="C934" i="1" a="1"/>
  <c r="C934" i="1" s="1"/>
  <c r="B936" i="1" l="1"/>
  <c r="C935" i="1" a="1"/>
  <c r="C935" i="1" s="1"/>
  <c r="B937" i="1" l="1"/>
  <c r="C936" i="1" a="1"/>
  <c r="C936" i="1" s="1"/>
  <c r="B938" i="1" l="1"/>
  <c r="C937" i="1" a="1"/>
  <c r="C937" i="1" s="1"/>
  <c r="B939" i="1" l="1"/>
  <c r="C938" i="1" a="1"/>
  <c r="C938" i="1" s="1"/>
  <c r="B940" i="1" l="1"/>
  <c r="C939" i="1" a="1"/>
  <c r="C939" i="1" s="1"/>
  <c r="B941" i="1" l="1"/>
  <c r="C940" i="1" a="1"/>
  <c r="C940" i="1" s="1"/>
  <c r="B942" i="1" l="1"/>
  <c r="C941" i="1" a="1"/>
  <c r="C941" i="1" s="1"/>
  <c r="B943" i="1" l="1"/>
  <c r="C942" i="1" a="1"/>
  <c r="C942" i="1" s="1"/>
  <c r="B944" i="1" l="1"/>
  <c r="C943" i="1" a="1"/>
  <c r="C943" i="1" s="1"/>
  <c r="B945" i="1" l="1"/>
  <c r="C944" i="1" a="1"/>
  <c r="C944" i="1" s="1"/>
  <c r="B946" i="1" l="1"/>
  <c r="C945" i="1" a="1"/>
  <c r="C945" i="1" s="1"/>
  <c r="B947" i="1" l="1"/>
  <c r="C946" i="1" a="1"/>
  <c r="C946" i="1" s="1"/>
  <c r="B948" i="1" l="1"/>
  <c r="C947" i="1" a="1"/>
  <c r="C947" i="1" s="1"/>
  <c r="B949" i="1" l="1"/>
  <c r="C948" i="1" a="1"/>
  <c r="C948" i="1" s="1"/>
  <c r="B950" i="1" l="1"/>
  <c r="C949" i="1" a="1"/>
  <c r="C949" i="1" s="1"/>
  <c r="B951" i="1" l="1"/>
  <c r="C950" i="1" a="1"/>
  <c r="C950" i="1" s="1"/>
  <c r="B952" i="1" l="1"/>
  <c r="C951" i="1" a="1"/>
  <c r="C951" i="1" s="1"/>
  <c r="B953" i="1" l="1"/>
  <c r="C952" i="1" a="1"/>
  <c r="C952" i="1" s="1"/>
  <c r="B954" i="1" l="1"/>
  <c r="C953" i="1" a="1"/>
  <c r="C953" i="1" s="1"/>
  <c r="B955" i="1" l="1"/>
  <c r="C954" i="1" a="1"/>
  <c r="C954" i="1" s="1"/>
  <c r="B956" i="1" l="1"/>
  <c r="C955" i="1" a="1"/>
  <c r="C955" i="1" s="1"/>
  <c r="B957" i="1" l="1"/>
  <c r="C956" i="1" a="1"/>
  <c r="C956" i="1" s="1"/>
  <c r="B958" i="1" l="1"/>
  <c r="C957" i="1" a="1"/>
  <c r="C957" i="1" s="1"/>
  <c r="B959" i="1" l="1"/>
  <c r="C958" i="1" a="1"/>
  <c r="C958" i="1" s="1"/>
  <c r="B960" i="1" l="1"/>
  <c r="C959" i="1" a="1"/>
  <c r="C959" i="1" s="1"/>
  <c r="B961" i="1" l="1"/>
  <c r="C960" i="1" a="1"/>
  <c r="C960" i="1" s="1"/>
  <c r="B962" i="1" l="1"/>
  <c r="C961" i="1" a="1"/>
  <c r="C961" i="1" s="1"/>
  <c r="B963" i="1" l="1"/>
  <c r="C962" i="1" a="1"/>
  <c r="C962" i="1" s="1"/>
  <c r="B964" i="1" l="1"/>
  <c r="C963" i="1" a="1"/>
  <c r="C963" i="1" s="1"/>
  <c r="B965" i="1" l="1"/>
  <c r="C964" i="1" a="1"/>
  <c r="C964" i="1" s="1"/>
  <c r="B966" i="1" l="1"/>
  <c r="C965" i="1" a="1"/>
  <c r="C965" i="1" s="1"/>
  <c r="B967" i="1" l="1"/>
  <c r="C966" i="1" a="1"/>
  <c r="C966" i="1" s="1"/>
  <c r="B968" i="1" l="1"/>
  <c r="C967" i="1" a="1"/>
  <c r="C967" i="1" s="1"/>
  <c r="B969" i="1" l="1"/>
  <c r="C968" i="1" a="1"/>
  <c r="C968" i="1" s="1"/>
  <c r="B970" i="1" l="1"/>
  <c r="C969" i="1" a="1"/>
  <c r="C969" i="1" s="1"/>
  <c r="B971" i="1" l="1"/>
  <c r="C970" i="1" a="1"/>
  <c r="C970" i="1" s="1"/>
  <c r="B972" i="1" l="1"/>
  <c r="C971" i="1" a="1"/>
  <c r="C971" i="1" s="1"/>
  <c r="B973" i="1" l="1"/>
  <c r="C972" i="1" a="1"/>
  <c r="C972" i="1" s="1"/>
  <c r="B974" i="1" l="1"/>
  <c r="C973" i="1" a="1"/>
  <c r="C973" i="1" s="1"/>
  <c r="B975" i="1" l="1"/>
  <c r="C974" i="1" a="1"/>
  <c r="C974" i="1" s="1"/>
  <c r="B976" i="1" l="1"/>
  <c r="C975" i="1" a="1"/>
  <c r="C975" i="1" s="1"/>
  <c r="B977" i="1" l="1"/>
  <c r="C976" i="1" a="1"/>
  <c r="C976" i="1" s="1"/>
  <c r="B978" i="1" l="1"/>
  <c r="C977" i="1" a="1"/>
  <c r="C977" i="1" s="1"/>
  <c r="B979" i="1" l="1"/>
  <c r="C978" i="1" a="1"/>
  <c r="C978" i="1" s="1"/>
  <c r="B980" i="1" l="1"/>
  <c r="C979" i="1" a="1"/>
  <c r="C979" i="1" s="1"/>
  <c r="B981" i="1" l="1"/>
  <c r="C980" i="1" a="1"/>
  <c r="C980" i="1" s="1"/>
  <c r="B982" i="1" l="1"/>
  <c r="C981" i="1" a="1"/>
  <c r="C981" i="1" s="1"/>
  <c r="B983" i="1" l="1"/>
  <c r="C982" i="1" a="1"/>
  <c r="C982" i="1" s="1"/>
  <c r="B984" i="1" l="1"/>
  <c r="C983" i="1" a="1"/>
  <c r="C983" i="1" s="1"/>
  <c r="B985" i="1" l="1"/>
  <c r="C984" i="1" a="1"/>
  <c r="C984" i="1" s="1"/>
  <c r="B986" i="1" l="1"/>
  <c r="C985" i="1" a="1"/>
  <c r="C985" i="1" s="1"/>
  <c r="B987" i="1" l="1"/>
  <c r="C986" i="1" a="1"/>
  <c r="C986" i="1" s="1"/>
  <c r="B988" i="1" l="1"/>
  <c r="C987" i="1" a="1"/>
  <c r="C987" i="1" s="1"/>
  <c r="B989" i="1" l="1"/>
  <c r="C988" i="1" a="1"/>
  <c r="C988" i="1" s="1"/>
  <c r="B990" i="1" l="1"/>
  <c r="C989" i="1" a="1"/>
  <c r="C989" i="1" s="1"/>
  <c r="B991" i="1" l="1"/>
  <c r="C990" i="1" a="1"/>
  <c r="C990" i="1" s="1"/>
  <c r="B992" i="1" l="1"/>
  <c r="C991" i="1" a="1"/>
  <c r="C991" i="1" s="1"/>
  <c r="B993" i="1" l="1"/>
  <c r="C992" i="1" a="1"/>
  <c r="C992" i="1" s="1"/>
  <c r="B994" i="1" l="1"/>
  <c r="C993" i="1" a="1"/>
  <c r="C993" i="1" s="1"/>
  <c r="B995" i="1" l="1"/>
  <c r="C994" i="1" a="1"/>
  <c r="C994" i="1" s="1"/>
  <c r="B996" i="1" l="1"/>
  <c r="C995" i="1" a="1"/>
  <c r="C995" i="1" s="1"/>
  <c r="B997" i="1" l="1"/>
  <c r="C996" i="1" a="1"/>
  <c r="C996" i="1" s="1"/>
  <c r="B998" i="1" l="1"/>
  <c r="C997" i="1" a="1"/>
  <c r="C997" i="1" s="1"/>
  <c r="B999" i="1" l="1"/>
  <c r="C998" i="1" a="1"/>
  <c r="C998" i="1" s="1"/>
  <c r="B1000" i="1" l="1"/>
  <c r="C999" i="1" a="1"/>
  <c r="C999" i="1" s="1"/>
  <c r="B1001" i="1" l="1"/>
  <c r="C1000" i="1" a="1"/>
  <c r="C1000" i="1" s="1"/>
  <c r="B1002" i="1" l="1"/>
  <c r="C1001" i="1" a="1"/>
  <c r="C1001" i="1" s="1"/>
  <c r="B1003" i="1" l="1"/>
  <c r="C1002" i="1" a="1"/>
  <c r="C1002" i="1" s="1"/>
  <c r="B1004" i="1" l="1"/>
  <c r="C1003" i="1" a="1"/>
  <c r="C1003" i="1" s="1"/>
  <c r="B1005" i="1" l="1"/>
  <c r="C1004" i="1" a="1"/>
  <c r="C1004" i="1" s="1"/>
  <c r="B1006" i="1" l="1"/>
  <c r="C1005" i="1" a="1"/>
  <c r="C1005" i="1" s="1"/>
  <c r="B1007" i="1" l="1"/>
  <c r="C1006" i="1" a="1"/>
  <c r="C1006" i="1" s="1"/>
  <c r="B1008" i="1" l="1"/>
  <c r="C1007" i="1" a="1"/>
  <c r="C1007" i="1" s="1"/>
  <c r="B1009" i="1" l="1"/>
  <c r="C1008" i="1" a="1"/>
  <c r="C1008" i="1" s="1"/>
  <c r="B1010" i="1" l="1"/>
  <c r="C1009" i="1" a="1"/>
  <c r="C1009" i="1" s="1"/>
  <c r="B1011" i="1" l="1"/>
  <c r="C1010" i="1" a="1"/>
  <c r="C1010" i="1" s="1"/>
  <c r="B1012" i="1" l="1"/>
  <c r="C1011" i="1" a="1"/>
  <c r="C1011" i="1" s="1"/>
  <c r="B1013" i="1" l="1"/>
  <c r="C1012" i="1" a="1"/>
  <c r="C1012" i="1" s="1"/>
  <c r="B1014" i="1" l="1"/>
  <c r="C1013" i="1" a="1"/>
  <c r="C1013" i="1" s="1"/>
  <c r="B1015" i="1" l="1"/>
  <c r="C1014" i="1" a="1"/>
  <c r="C1014" i="1" s="1"/>
  <c r="B1016" i="1" l="1"/>
  <c r="C1015" i="1" a="1"/>
  <c r="C1015" i="1" s="1"/>
  <c r="B1017" i="1" l="1"/>
  <c r="C1016" i="1" a="1"/>
  <c r="C1016" i="1" s="1"/>
  <c r="B1018" i="1" l="1"/>
  <c r="C1017" i="1" a="1"/>
  <c r="C1017" i="1" s="1"/>
  <c r="B1019" i="1" l="1"/>
  <c r="C1018" i="1" a="1"/>
  <c r="C1018" i="1" s="1"/>
  <c r="B1020" i="1" l="1"/>
  <c r="C1019" i="1" a="1"/>
  <c r="C1019" i="1" s="1"/>
  <c r="B1021" i="1" l="1"/>
  <c r="C1020" i="1" a="1"/>
  <c r="C1020" i="1" s="1"/>
  <c r="B1022" i="1" l="1"/>
  <c r="C1021" i="1" a="1"/>
  <c r="C1021" i="1" s="1"/>
  <c r="B1023" i="1" l="1"/>
  <c r="C1022" i="1" a="1"/>
  <c r="C1022" i="1" s="1"/>
  <c r="B1024" i="1" l="1"/>
  <c r="C1023" i="1" a="1"/>
  <c r="C1023" i="1" s="1"/>
  <c r="B1025" i="1" l="1"/>
  <c r="C1024" i="1" a="1"/>
  <c r="C1024" i="1" s="1"/>
  <c r="B1026" i="1" l="1"/>
  <c r="C1025" i="1" a="1"/>
  <c r="C1025" i="1" s="1"/>
  <c r="B1027" i="1" l="1"/>
  <c r="C1026" i="1" a="1"/>
  <c r="C1026" i="1" s="1"/>
  <c r="B1028" i="1" l="1"/>
  <c r="C1027" i="1" a="1"/>
  <c r="C1027" i="1" s="1"/>
  <c r="B1029" i="1" l="1"/>
  <c r="C1028" i="1" a="1"/>
  <c r="C1028" i="1" s="1"/>
  <c r="B1030" i="1" l="1"/>
  <c r="C1029" i="1" a="1"/>
  <c r="C1029" i="1" s="1"/>
  <c r="B1031" i="1" l="1"/>
  <c r="C1030" i="1" a="1"/>
  <c r="C1030" i="1" s="1"/>
  <c r="B1032" i="1" l="1"/>
  <c r="C1031" i="1" a="1"/>
  <c r="C1031" i="1" s="1"/>
  <c r="B1033" i="1" l="1"/>
  <c r="C1032" i="1" a="1"/>
  <c r="C1032" i="1" s="1"/>
  <c r="B1034" i="1" l="1"/>
  <c r="C1033" i="1" a="1"/>
  <c r="C1033" i="1" s="1"/>
  <c r="B1035" i="1" l="1"/>
  <c r="C1034" i="1" a="1"/>
  <c r="C1034" i="1" s="1"/>
  <c r="B1036" i="1" l="1"/>
  <c r="C1035" i="1" a="1"/>
  <c r="C1035" i="1" s="1"/>
  <c r="B1037" i="1" l="1"/>
  <c r="C1036" i="1" a="1"/>
  <c r="C1036" i="1" s="1"/>
  <c r="B1038" i="1" l="1"/>
  <c r="C1037" i="1" a="1"/>
  <c r="C1037" i="1" s="1"/>
  <c r="B1039" i="1" l="1"/>
  <c r="C1038" i="1" a="1"/>
  <c r="C1038" i="1" s="1"/>
  <c r="B1040" i="1" l="1"/>
  <c r="C1039" i="1" a="1"/>
  <c r="C1039" i="1" s="1"/>
  <c r="B1041" i="1" l="1"/>
  <c r="C1040" i="1" a="1"/>
  <c r="C1040" i="1" s="1"/>
  <c r="B1042" i="1" l="1"/>
  <c r="C1041" i="1" a="1"/>
  <c r="C1041" i="1" s="1"/>
  <c r="B1043" i="1" l="1"/>
  <c r="C1042" i="1" a="1"/>
  <c r="C1042" i="1" s="1"/>
  <c r="B1044" i="1" l="1"/>
  <c r="C1043" i="1" a="1"/>
  <c r="C1043" i="1" s="1"/>
  <c r="B1045" i="1" l="1"/>
  <c r="C1044" i="1" a="1"/>
  <c r="C1044" i="1" s="1"/>
  <c r="B1046" i="1" l="1"/>
  <c r="C1045" i="1" a="1"/>
  <c r="C1045" i="1" s="1"/>
  <c r="B1047" i="1" l="1"/>
  <c r="C1046" i="1" a="1"/>
  <c r="C1046" i="1" s="1"/>
  <c r="B1048" i="1" l="1"/>
  <c r="C1047" i="1" a="1"/>
  <c r="C1047" i="1" s="1"/>
  <c r="B1049" i="1" l="1"/>
  <c r="C1048" i="1" a="1"/>
  <c r="C1048" i="1" s="1"/>
  <c r="B1050" i="1" l="1"/>
  <c r="C1049" i="1" a="1"/>
  <c r="C1049" i="1" s="1"/>
  <c r="B1051" i="1" l="1"/>
  <c r="C1050" i="1" a="1"/>
  <c r="C1050" i="1" s="1"/>
  <c r="B1052" i="1" l="1"/>
  <c r="C1051" i="1" a="1"/>
  <c r="C1051" i="1" s="1"/>
  <c r="B1053" i="1" l="1"/>
  <c r="C1052" i="1" a="1"/>
  <c r="C1052" i="1" s="1"/>
  <c r="B1054" i="1" l="1"/>
  <c r="C1053" i="1" a="1"/>
  <c r="C1053" i="1" s="1"/>
  <c r="B1055" i="1" l="1"/>
  <c r="C1054" i="1" a="1"/>
  <c r="C1054" i="1" s="1"/>
  <c r="B1056" i="1" l="1"/>
  <c r="C1055" i="1" a="1"/>
  <c r="C1055" i="1" s="1"/>
  <c r="B1057" i="1" l="1"/>
  <c r="C1056" i="1" a="1"/>
  <c r="C1056" i="1" s="1"/>
  <c r="B1058" i="1" l="1"/>
  <c r="C1057" i="1" a="1"/>
  <c r="C1057" i="1" s="1"/>
  <c r="B1059" i="1" l="1"/>
  <c r="C1058" i="1" a="1"/>
  <c r="C1058" i="1" s="1"/>
  <c r="B1060" i="1" l="1"/>
  <c r="C1059" i="1" a="1"/>
  <c r="C1059" i="1" s="1"/>
  <c r="B1061" i="1" l="1"/>
  <c r="C1060" i="1" a="1"/>
  <c r="C1060" i="1" s="1"/>
  <c r="B1062" i="1" l="1"/>
  <c r="C1061" i="1" a="1"/>
  <c r="C1061" i="1" s="1"/>
  <c r="B1063" i="1" l="1"/>
  <c r="C1062" i="1" a="1"/>
  <c r="C1062" i="1" s="1"/>
  <c r="B1064" i="1" l="1"/>
  <c r="C1063" i="1" a="1"/>
  <c r="C1063" i="1" s="1"/>
  <c r="B1065" i="1" l="1"/>
  <c r="C1064" i="1" a="1"/>
  <c r="C1064" i="1" s="1"/>
  <c r="B1066" i="1" l="1"/>
  <c r="C1065" i="1" a="1"/>
  <c r="C1065" i="1" s="1"/>
  <c r="B1067" i="1" l="1"/>
  <c r="C1066" i="1" a="1"/>
  <c r="C1066" i="1" s="1"/>
  <c r="B1068" i="1" l="1"/>
  <c r="C1067" i="1" a="1"/>
  <c r="C1067" i="1" s="1"/>
  <c r="B1069" i="1" l="1"/>
  <c r="C1068" i="1" a="1"/>
  <c r="C1068" i="1" s="1"/>
  <c r="B1070" i="1" l="1"/>
  <c r="C1069" i="1" a="1"/>
  <c r="C1069" i="1" s="1"/>
  <c r="B1071" i="1" l="1"/>
  <c r="C1070" i="1" a="1"/>
  <c r="C1070" i="1" s="1"/>
  <c r="B1072" i="1" l="1"/>
  <c r="C1071" i="1" a="1"/>
  <c r="C1071" i="1" s="1"/>
  <c r="B1073" i="1" l="1"/>
  <c r="C1072" i="1" a="1"/>
  <c r="C1072" i="1" s="1"/>
  <c r="B1074" i="1" l="1"/>
  <c r="C1073" i="1" a="1"/>
  <c r="C1073" i="1" s="1"/>
  <c r="B1075" i="1" l="1"/>
  <c r="C1074" i="1" a="1"/>
  <c r="C1074" i="1" s="1"/>
  <c r="B1076" i="1" l="1"/>
  <c r="C1075" i="1" a="1"/>
  <c r="C1075" i="1" s="1"/>
  <c r="B1077" i="1" l="1"/>
  <c r="C1076" i="1" a="1"/>
  <c r="C1076" i="1" s="1"/>
  <c r="B1078" i="1" l="1"/>
  <c r="C1077" i="1" a="1"/>
  <c r="C1077" i="1" s="1"/>
  <c r="B1079" i="1" l="1"/>
  <c r="C1078" i="1" a="1"/>
  <c r="C1078" i="1" s="1"/>
  <c r="B1080" i="1" l="1"/>
  <c r="C1079" i="1" a="1"/>
  <c r="C1079" i="1" s="1"/>
  <c r="B1081" i="1" l="1"/>
  <c r="C1080" i="1" a="1"/>
  <c r="C1080" i="1" s="1"/>
  <c r="B1082" i="1" l="1"/>
  <c r="C1081" i="1" a="1"/>
  <c r="C1081" i="1" s="1"/>
  <c r="B1083" i="1" l="1"/>
  <c r="C1082" i="1" a="1"/>
  <c r="C1082" i="1" s="1"/>
  <c r="B1084" i="1" l="1"/>
  <c r="C1083" i="1" a="1"/>
  <c r="C1083" i="1" s="1"/>
  <c r="B1085" i="1" l="1"/>
  <c r="C1084" i="1" a="1"/>
  <c r="C1084" i="1" s="1"/>
  <c r="B1086" i="1" l="1"/>
  <c r="C1085" i="1" a="1"/>
  <c r="C1085" i="1" s="1"/>
  <c r="B1087" i="1" l="1"/>
  <c r="C1086" i="1" a="1"/>
  <c r="C1086" i="1" s="1"/>
  <c r="B1088" i="1" l="1"/>
  <c r="C1087" i="1" a="1"/>
  <c r="C1087" i="1" s="1"/>
  <c r="B1089" i="1" l="1"/>
  <c r="C1088" i="1" a="1"/>
  <c r="C1088" i="1" s="1"/>
  <c r="B1090" i="1" l="1"/>
  <c r="C1089" i="1" a="1"/>
  <c r="C1089" i="1" s="1"/>
  <c r="B1091" i="1" l="1"/>
  <c r="C1090" i="1" a="1"/>
  <c r="C1090" i="1" s="1"/>
  <c r="B1092" i="1" l="1"/>
  <c r="C1091" i="1" a="1"/>
  <c r="C1091" i="1" s="1"/>
  <c r="B1093" i="1" l="1"/>
  <c r="C1092" i="1" a="1"/>
  <c r="C1092" i="1" s="1"/>
  <c r="B1094" i="1" l="1"/>
  <c r="C1093" i="1" a="1"/>
  <c r="C1093" i="1" s="1"/>
  <c r="B1095" i="1" l="1"/>
  <c r="C1094" i="1" a="1"/>
  <c r="C1094" i="1" s="1"/>
  <c r="B1096" i="1" l="1"/>
  <c r="C1095" i="1" a="1"/>
  <c r="C1095" i="1" s="1"/>
  <c r="B1097" i="1" l="1"/>
  <c r="C1096" i="1" a="1"/>
  <c r="C1096" i="1" s="1"/>
  <c r="B1098" i="1" l="1"/>
  <c r="C1097" i="1" a="1"/>
  <c r="C1097" i="1" s="1"/>
  <c r="B1099" i="1" l="1"/>
  <c r="C1098" i="1" a="1"/>
  <c r="C1098" i="1" s="1"/>
  <c r="B1100" i="1" l="1"/>
  <c r="C1099" i="1" a="1"/>
  <c r="C1099" i="1" s="1"/>
  <c r="B1101" i="1" l="1"/>
  <c r="C1100" i="1" a="1"/>
  <c r="C1100" i="1" s="1"/>
  <c r="B1102" i="1" l="1"/>
  <c r="C1101" i="1" a="1"/>
  <c r="C1101" i="1" s="1"/>
  <c r="B1103" i="1" l="1"/>
  <c r="C1102" i="1" a="1"/>
  <c r="C1102" i="1" s="1"/>
  <c r="B1104" i="1" l="1"/>
  <c r="C1103" i="1" a="1"/>
  <c r="C1103" i="1" s="1"/>
  <c r="B1105" i="1" l="1"/>
  <c r="C1104" i="1" a="1"/>
  <c r="C1104" i="1" s="1"/>
  <c r="B1106" i="1" l="1"/>
  <c r="C1105" i="1" a="1"/>
  <c r="C1105" i="1" s="1"/>
  <c r="B1107" i="1" l="1"/>
  <c r="C1106" i="1" a="1"/>
  <c r="C1106" i="1" s="1"/>
  <c r="B1108" i="1" l="1"/>
  <c r="C1107" i="1" a="1"/>
  <c r="C1107" i="1" s="1"/>
  <c r="B1109" i="1" l="1"/>
  <c r="C1108" i="1" a="1"/>
  <c r="C1108" i="1" s="1"/>
  <c r="B1110" i="1" l="1"/>
  <c r="C1109" i="1" a="1"/>
  <c r="C1109" i="1" s="1"/>
  <c r="B1111" i="1" l="1"/>
  <c r="C1110" i="1" a="1"/>
  <c r="C1110" i="1" s="1"/>
  <c r="B1112" i="1" l="1"/>
  <c r="C1111" i="1" a="1"/>
  <c r="C1111" i="1" s="1"/>
  <c r="B1113" i="1" l="1"/>
  <c r="C1112" i="1" a="1"/>
  <c r="C1112" i="1" s="1"/>
  <c r="B1114" i="1" l="1"/>
  <c r="C1113" i="1" a="1"/>
  <c r="C1113" i="1" s="1"/>
  <c r="B1115" i="1" l="1"/>
  <c r="C1114" i="1" a="1"/>
  <c r="C1114" i="1" s="1"/>
  <c r="B1116" i="1" l="1"/>
  <c r="C1115" i="1" a="1"/>
  <c r="C1115" i="1" s="1"/>
  <c r="B1117" i="1" l="1"/>
  <c r="C1116" i="1" a="1"/>
  <c r="C1116" i="1" s="1"/>
  <c r="B1118" i="1" l="1"/>
  <c r="C1117" i="1" a="1"/>
  <c r="C1117" i="1" s="1"/>
  <c r="B1119" i="1" l="1"/>
  <c r="C1118" i="1" a="1"/>
  <c r="C1118" i="1" s="1"/>
  <c r="B1120" i="1" l="1"/>
  <c r="C1119" i="1" a="1"/>
  <c r="C1119" i="1" s="1"/>
  <c r="B1121" i="1" l="1"/>
  <c r="C1120" i="1" a="1"/>
  <c r="C1120" i="1" s="1"/>
  <c r="B1122" i="1" l="1"/>
  <c r="C1121" i="1" a="1"/>
  <c r="C1121" i="1" s="1"/>
  <c r="B1123" i="1" l="1"/>
  <c r="C1122" i="1" a="1"/>
  <c r="C1122" i="1" s="1"/>
  <c r="B1124" i="1" l="1"/>
  <c r="C1123" i="1" a="1"/>
  <c r="C1123" i="1" s="1"/>
  <c r="B1125" i="1" l="1"/>
  <c r="C1124" i="1" a="1"/>
  <c r="C1124" i="1" s="1"/>
  <c r="B1126" i="1" l="1"/>
  <c r="C1125" i="1" a="1"/>
  <c r="C1125" i="1" s="1"/>
  <c r="B1127" i="1" l="1"/>
  <c r="C1126" i="1" a="1"/>
  <c r="C1126" i="1" s="1"/>
  <c r="B1128" i="1" l="1"/>
  <c r="C1127" i="1" a="1"/>
  <c r="C1127" i="1" s="1"/>
  <c r="B1129" i="1" l="1"/>
  <c r="C1128" i="1" a="1"/>
  <c r="C1128" i="1" s="1"/>
  <c r="B1130" i="1" l="1"/>
  <c r="C1129" i="1" a="1"/>
  <c r="C1129" i="1" s="1"/>
  <c r="B1131" i="1" l="1"/>
  <c r="C1130" i="1" a="1"/>
  <c r="C1130" i="1" s="1"/>
  <c r="B1132" i="1" l="1"/>
  <c r="C1131" i="1" a="1"/>
  <c r="C1131" i="1" s="1"/>
  <c r="B1133" i="1" l="1"/>
  <c r="C1132" i="1" a="1"/>
  <c r="C1132" i="1" s="1"/>
  <c r="B1134" i="1" l="1"/>
  <c r="C1133" i="1" a="1"/>
  <c r="C1133" i="1" s="1"/>
  <c r="B1135" i="1" l="1"/>
  <c r="C1134" i="1" a="1"/>
  <c r="C1134" i="1" s="1"/>
  <c r="B1136" i="1" l="1"/>
  <c r="C1135" i="1" a="1"/>
  <c r="C1135" i="1" s="1"/>
  <c r="B1137" i="1" l="1"/>
  <c r="C1136" i="1" a="1"/>
  <c r="C1136" i="1" s="1"/>
  <c r="B1138" i="1" l="1"/>
  <c r="C1137" i="1" a="1"/>
  <c r="C1137" i="1" s="1"/>
  <c r="B1139" i="1" l="1"/>
  <c r="C1138" i="1" a="1"/>
  <c r="C1138" i="1" s="1"/>
  <c r="B1140" i="1" l="1"/>
  <c r="C1139" i="1" a="1"/>
  <c r="C1139" i="1" s="1"/>
  <c r="B1141" i="1" l="1"/>
  <c r="C1140" i="1" a="1"/>
  <c r="C1140" i="1" s="1"/>
  <c r="B1142" i="1" l="1"/>
  <c r="C1141" i="1" a="1"/>
  <c r="C1141" i="1" s="1"/>
  <c r="B1143" i="1" l="1"/>
  <c r="C1142" i="1" a="1"/>
  <c r="C1142" i="1" s="1"/>
  <c r="B1144" i="1" l="1"/>
  <c r="C1143" i="1" a="1"/>
  <c r="C1143" i="1" s="1"/>
  <c r="B1145" i="1" l="1"/>
  <c r="C1144" i="1" a="1"/>
  <c r="C1144" i="1" s="1"/>
  <c r="B1146" i="1" l="1"/>
  <c r="C1145" i="1" a="1"/>
  <c r="C1145" i="1" s="1"/>
  <c r="B1147" i="1" l="1"/>
  <c r="C1146" i="1" a="1"/>
  <c r="C1146" i="1" s="1"/>
  <c r="B1148" i="1" l="1"/>
  <c r="C1147" i="1" a="1"/>
  <c r="C1147" i="1" s="1"/>
  <c r="B1149" i="1" l="1"/>
  <c r="C1148" i="1" a="1"/>
  <c r="C1148" i="1" s="1"/>
  <c r="B1150" i="1" l="1"/>
  <c r="C1149" i="1" a="1"/>
  <c r="C1149" i="1" s="1"/>
  <c r="B1151" i="1" l="1"/>
  <c r="C1150" i="1" a="1"/>
  <c r="C1150" i="1" s="1"/>
  <c r="B1152" i="1" l="1"/>
  <c r="C1151" i="1" a="1"/>
  <c r="C1151" i="1" s="1"/>
  <c r="B1153" i="1" l="1"/>
  <c r="C1152" i="1" a="1"/>
  <c r="C1152" i="1" s="1"/>
  <c r="B1154" i="1" l="1"/>
  <c r="C1153" i="1" a="1"/>
  <c r="C1153" i="1" s="1"/>
  <c r="B1155" i="1" l="1"/>
  <c r="C1154" i="1" a="1"/>
  <c r="C1154" i="1" s="1"/>
  <c r="B1156" i="1" l="1"/>
  <c r="C1155" i="1" a="1"/>
  <c r="C1155" i="1" s="1"/>
  <c r="B1157" i="1" l="1"/>
  <c r="C1156" i="1" a="1"/>
  <c r="C1156" i="1" s="1"/>
  <c r="B1158" i="1" l="1"/>
  <c r="C1157" i="1" a="1"/>
  <c r="C1157" i="1" s="1"/>
  <c r="B1159" i="1" l="1"/>
  <c r="C1158" i="1" a="1"/>
  <c r="C1158" i="1" s="1"/>
  <c r="B1160" i="1" l="1"/>
  <c r="C1159" i="1" a="1"/>
  <c r="C1159" i="1" s="1"/>
  <c r="B1161" i="1" l="1"/>
  <c r="C1160" i="1" a="1"/>
  <c r="C1160" i="1" s="1"/>
  <c r="B1162" i="1" l="1"/>
  <c r="C1161" i="1" a="1"/>
  <c r="C1161" i="1" s="1"/>
  <c r="B1163" i="1" l="1"/>
  <c r="C1162" i="1" a="1"/>
  <c r="C1162" i="1" s="1"/>
  <c r="B1164" i="1" l="1"/>
  <c r="C1163" i="1" a="1"/>
  <c r="C1163" i="1" s="1"/>
  <c r="B1165" i="1" l="1"/>
  <c r="C1164" i="1" a="1"/>
  <c r="C1164" i="1" s="1"/>
  <c r="B1166" i="1" l="1"/>
  <c r="C1165" i="1" a="1"/>
  <c r="C1165" i="1" s="1"/>
  <c r="B1167" i="1" l="1"/>
  <c r="C1166" i="1" a="1"/>
  <c r="C1166" i="1" s="1"/>
  <c r="B1168" i="1" l="1"/>
  <c r="C1167" i="1" a="1"/>
  <c r="C1167" i="1" s="1"/>
  <c r="B1169" i="1" l="1"/>
  <c r="C1168" i="1" a="1"/>
  <c r="C1168" i="1" s="1"/>
  <c r="B1170" i="1" l="1"/>
  <c r="C1169" i="1" a="1"/>
  <c r="C1169" i="1" s="1"/>
  <c r="B1171" i="1" l="1"/>
  <c r="C1170" i="1" a="1"/>
  <c r="C1170" i="1" s="1"/>
  <c r="B1172" i="1" l="1"/>
  <c r="C1171" i="1" a="1"/>
  <c r="C1171" i="1" s="1"/>
  <c r="B1173" i="1" l="1"/>
  <c r="C1172" i="1" a="1"/>
  <c r="C1172" i="1" s="1"/>
  <c r="B1174" i="1" l="1"/>
  <c r="C1173" i="1" a="1"/>
  <c r="C1173" i="1" s="1"/>
  <c r="B1175" i="1" l="1"/>
  <c r="C1174" i="1" a="1"/>
  <c r="C1174" i="1" s="1"/>
  <c r="B1176" i="1" l="1"/>
  <c r="C1175" i="1" a="1"/>
  <c r="C1175" i="1" s="1"/>
  <c r="B1177" i="1" l="1"/>
  <c r="C1176" i="1" a="1"/>
  <c r="C1176" i="1" s="1"/>
  <c r="B1178" i="1" l="1"/>
  <c r="C1177" i="1" a="1"/>
  <c r="C1177" i="1" s="1"/>
  <c r="B1179" i="1" l="1"/>
  <c r="C1178" i="1" a="1"/>
  <c r="C1178" i="1" s="1"/>
  <c r="B1180" i="1" l="1"/>
  <c r="C1179" i="1" a="1"/>
  <c r="C1179" i="1" s="1"/>
  <c r="B1181" i="1" l="1"/>
  <c r="C1180" i="1" a="1"/>
  <c r="C1180" i="1" s="1"/>
  <c r="B1182" i="1" l="1"/>
  <c r="C1181" i="1" a="1"/>
  <c r="C1181" i="1" s="1"/>
  <c r="B1183" i="1" l="1"/>
  <c r="C1182" i="1" a="1"/>
  <c r="C1182" i="1" s="1"/>
  <c r="B1184" i="1" l="1"/>
  <c r="C1183" i="1" a="1"/>
  <c r="C1183" i="1" s="1"/>
  <c r="B1185" i="1" l="1"/>
  <c r="C1184" i="1" a="1"/>
  <c r="C1184" i="1" s="1"/>
  <c r="B1186" i="1" l="1"/>
  <c r="C1185" i="1" a="1"/>
  <c r="C1185" i="1" s="1"/>
  <c r="B1187" i="1" l="1"/>
  <c r="C1186" i="1" a="1"/>
  <c r="C1186" i="1" s="1"/>
  <c r="B1188" i="1" l="1"/>
  <c r="C1187" i="1" a="1"/>
  <c r="C1187" i="1" s="1"/>
  <c r="B1189" i="1" l="1"/>
  <c r="C1188" i="1" a="1"/>
  <c r="C1188" i="1" s="1"/>
  <c r="B1190" i="1" l="1"/>
  <c r="C1189" i="1" a="1"/>
  <c r="C1189" i="1" s="1"/>
  <c r="B1191" i="1" l="1"/>
  <c r="C1190" i="1" a="1"/>
  <c r="C1190" i="1" s="1"/>
  <c r="B1192" i="1" l="1"/>
  <c r="C1191" i="1" a="1"/>
  <c r="C1191" i="1" s="1"/>
  <c r="B1193" i="1" l="1"/>
  <c r="C1192" i="1" a="1"/>
  <c r="C1192" i="1" s="1"/>
  <c r="B1194" i="1" l="1"/>
  <c r="C1193" i="1" a="1"/>
  <c r="C1193" i="1" s="1"/>
  <c r="B1195" i="1" l="1"/>
  <c r="C1194" i="1" a="1"/>
  <c r="C1194" i="1" s="1"/>
  <c r="B1196" i="1" l="1"/>
  <c r="C1195" i="1" a="1"/>
  <c r="C1195" i="1" s="1"/>
  <c r="B1197" i="1" l="1"/>
  <c r="C1196" i="1" a="1"/>
  <c r="C1196" i="1" s="1"/>
  <c r="B1198" i="1" l="1"/>
  <c r="C1197" i="1" a="1"/>
  <c r="C1197" i="1" s="1"/>
  <c r="B1199" i="1" l="1"/>
  <c r="C1198" i="1" a="1"/>
  <c r="C1198" i="1" s="1"/>
  <c r="B1200" i="1" l="1"/>
  <c r="C1199" i="1" a="1"/>
  <c r="C1199" i="1" s="1"/>
  <c r="B1201" i="1" l="1"/>
  <c r="C1200" i="1" a="1"/>
  <c r="C1200" i="1" s="1"/>
  <c r="B1202" i="1" l="1"/>
  <c r="C1201" i="1" a="1"/>
  <c r="C1201" i="1" s="1"/>
  <c r="B1203" i="1" l="1"/>
  <c r="C1202" i="1" a="1"/>
  <c r="C1202" i="1" s="1"/>
  <c r="B1204" i="1" l="1"/>
  <c r="C1203" i="1" a="1"/>
  <c r="C1203" i="1" s="1"/>
  <c r="B1205" i="1" l="1"/>
  <c r="C1204" i="1" a="1"/>
  <c r="C1204" i="1" s="1"/>
  <c r="B1206" i="1" l="1"/>
  <c r="C1206" i="1" s="1" a="1"/>
  <c r="C1206" i="1" s="1"/>
  <c r="C1205" i="1" a="1"/>
  <c r="C1205" i="1" s="1"/>
  <c r="M30" i="1" l="1"/>
  <c r="M26" i="1"/>
  <c r="M27" i="1"/>
  <c r="M29" i="1"/>
  <c r="M28" i="1"/>
  <c r="M25" i="1"/>
  <c r="L4" i="1"/>
  <c r="M4" i="1"/>
  <c r="N4" i="1" s="1"/>
  <c r="K4" i="1"/>
  <c r="J4" i="1"/>
  <c r="Q25" i="1" l="1"/>
  <c r="E9" i="1"/>
  <c r="Q26" i="1"/>
  <c r="F7" i="1"/>
  <c r="N26" i="1"/>
  <c r="N30" i="1"/>
  <c r="N29" i="1"/>
  <c r="N28" i="1"/>
  <c r="N27" i="1"/>
  <c r="N25" i="1"/>
  <c r="F9" i="1" l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8" i="1" s="1"/>
  <c r="F18" i="1" s="1"/>
  <c r="E19" i="1" s="1"/>
  <c r="F19" i="1" s="1"/>
  <c r="E20" i="1" s="1"/>
  <c r="F20" i="1" s="1"/>
  <c r="E21" i="1" s="1"/>
  <c r="F21" i="1" s="1"/>
  <c r="E22" i="1" s="1"/>
  <c r="F22" i="1" s="1"/>
  <c r="E23" i="1" s="1"/>
  <c r="F23" i="1" s="1"/>
  <c r="E24" i="1" s="1"/>
  <c r="F24" i="1" s="1"/>
  <c r="E25" i="1" s="1"/>
  <c r="F25" i="1" s="1"/>
  <c r="E26" i="1" s="1"/>
  <c r="F26" i="1" s="1"/>
  <c r="E27" i="1" s="1"/>
  <c r="F27" i="1" s="1"/>
  <c r="E28" i="1" s="1"/>
  <c r="F28" i="1" s="1"/>
  <c r="E29" i="1" s="1"/>
  <c r="F29" i="1" s="1"/>
  <c r="E30" i="1" s="1"/>
  <c r="F30" i="1" s="1"/>
  <c r="E31" i="1" s="1"/>
  <c r="F31" i="1" s="1"/>
  <c r="E32" i="1" s="1"/>
  <c r="F32" i="1" s="1"/>
  <c r="G9" i="1" l="1" a="1"/>
  <c r="H9" i="1" a="1"/>
  <c r="H9" i="1" s="1"/>
  <c r="G9" i="1" l="1"/>
  <c r="J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<sst xmlns="http://schemas.openxmlformats.org/spreadsheetml/2006/main" count="35" uniqueCount="34">
  <si>
    <t>Data</t>
  </si>
  <si>
    <t>low</t>
  </si>
  <si>
    <t>high</t>
  </si>
  <si>
    <t>frequency</t>
  </si>
  <si>
    <t>Max</t>
  </si>
  <si>
    <t>Min</t>
  </si>
  <si>
    <t>Expected</t>
  </si>
  <si>
    <t>Empirical</t>
  </si>
  <si>
    <t>Bin width =</t>
  </si>
  <si>
    <t>labels</t>
  </si>
  <si>
    <t>≤ 1000</t>
  </si>
  <si>
    <t>99.85 Percentile</t>
  </si>
  <si>
    <t>97.5 Percenile</t>
  </si>
  <si>
    <t>84 Percentile</t>
  </si>
  <si>
    <t>16 Percentile</t>
  </si>
  <si>
    <t>2.5 Percentile</t>
  </si>
  <si>
    <t>0.15 Percentile</t>
  </si>
  <si>
    <t>Empirical Rule</t>
  </si>
  <si>
    <t>This Data</t>
  </si>
  <si>
    <t>M + 2∙SD</t>
  </si>
  <si>
    <t>M + 3∙SD</t>
  </si>
  <si>
    <t>M + 1∙SD</t>
  </si>
  <si>
    <t>M - 1∙SD</t>
  </si>
  <si>
    <t>M - 2∙SD</t>
  </si>
  <si>
    <t>M - 3∙SD</t>
  </si>
  <si>
    <r>
      <rPr>
        <b/>
        <sz val="11"/>
        <color theme="1"/>
        <rFont val="Calibri"/>
        <family val="2"/>
        <scheme val="minor"/>
      </rPr>
      <t>Number of sides on each die</t>
    </r>
    <r>
      <rPr>
        <sz val="11"/>
        <color theme="1"/>
        <rFont val="Calibri"/>
        <family val="2"/>
        <scheme val="minor"/>
      </rPr>
      <t xml:space="preserve"> = s =</t>
    </r>
  </si>
  <si>
    <r>
      <rPr>
        <b/>
        <sz val="11"/>
        <color theme="1"/>
        <rFont val="Calibri"/>
        <family val="2"/>
        <scheme val="minor"/>
      </rPr>
      <t>Number of dice to roll and sum each time</t>
    </r>
    <r>
      <rPr>
        <sz val="11"/>
        <color theme="1"/>
        <rFont val="Calibri"/>
        <family val="2"/>
        <scheme val="minor"/>
      </rPr>
      <t xml:space="preserve"> = N =</t>
    </r>
  </si>
  <si>
    <r>
      <rPr>
        <b/>
        <sz val="11"/>
        <color theme="1"/>
        <rFont val="Calibri"/>
        <family val="2"/>
        <scheme val="minor"/>
      </rPr>
      <t>Number of repetitions</t>
    </r>
    <r>
      <rPr>
        <sz val="11"/>
        <color theme="1"/>
        <rFont val="Calibri"/>
        <family val="2"/>
        <scheme val="minor"/>
      </rPr>
      <t xml:space="preserve"> = M = </t>
    </r>
  </si>
  <si>
    <t>s∙N ≥ 24</t>
  </si>
  <si>
    <t>Conditions</t>
  </si>
  <si>
    <t>Variance</t>
  </si>
  <si>
    <t>stdev</t>
  </si>
  <si>
    <t>Notes on probabilities with dice rolls. (Advanced)</t>
  </si>
  <si>
    <t>Video Explaining this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</si>
</sst>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2" fillId="4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2" fontId="0" fillId="4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9" fontId="0" fillId="0" borderId="0" xfId="0" applyNumberFormat="1"/>
    <xf numFmtId="1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0" xfId="0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3" fillId="0" borderId="0" xfId="0" applyFont="1"/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0" fontId="5" fillId="0" borderId="0" xfId="2" applyFont="1" applyAlignment="1">
      <alignment horizontal="center"/>
    </xf>
    <xf numFmtId="0" fontId="0" fillId="0" borderId="8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2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Empirical!$J$11</c:f>
          <c:strCache>
            <c:ptCount val="1"/>
            <c:pt idx="0">
              <c:v>Relative Frequency for the sum of 3 6-sided dice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AFB-46F1-B691-7E43F36ACC9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AFB-46F1-B691-7E43F36ACC9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AFB-46F1-B691-7E43F36ACC9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FB-46F1-B691-7E43F36ACC9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AFB-46F1-B691-7E43F36ACC9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FB-46F1-B691-7E43F36ACC9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FB-46F1-B691-7E43F36ACC9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FB-46F1-B691-7E43F36ACC9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FB-46F1-B691-7E43F36ACC9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FB-46F1-B691-7E43F36ACC9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FB-46F1-B691-7E43F36ACC9C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AFB-46F1-B691-7E43F36ACC9C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AFB-46F1-B691-7E43F36ACC9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FB-46F1-B691-7E43F36ACC9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AFB-46F1-B691-7E43F36ACC9C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AFB-46F1-B691-7E43F36ACC9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AFB-46F1-B691-7E43F36ACC9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1AFB-46F1-B691-7E43F36ACC9C}"/>
              </c:ext>
            </c:extLst>
          </c:dPt>
          <c:cat>
            <c:numRef>
              <c:f>Empirical!$H$9:$H$32</c:f>
              <c:numCache>
                <c:formatCode>0</c:formatCode>
                <c:ptCount val="24"/>
                <c:pt idx="0">
                  <c:v>-0.36213333150986965</c:v>
                </c:pt>
                <c:pt idx="1">
                  <c:v>0.59161739296924942</c:v>
                </c:pt>
                <c:pt idx="2">
                  <c:v>1.5453681174483687</c:v>
                </c:pt>
                <c:pt idx="3">
                  <c:v>2.4991188419274879</c:v>
                </c:pt>
                <c:pt idx="4">
                  <c:v>3.4528695664066067</c:v>
                </c:pt>
                <c:pt idx="5">
                  <c:v>4.4066202908857264</c:v>
                </c:pt>
                <c:pt idx="6">
                  <c:v>5.3603710153648443</c:v>
                </c:pt>
                <c:pt idx="7">
                  <c:v>6.314121739843964</c:v>
                </c:pt>
                <c:pt idx="8">
                  <c:v>7.2678724643230819</c:v>
                </c:pt>
                <c:pt idx="9">
                  <c:v>8.2216231888022016</c:v>
                </c:pt>
                <c:pt idx="10">
                  <c:v>9.1753739132813195</c:v>
                </c:pt>
                <c:pt idx="11">
                  <c:v>10.129124637760441</c:v>
                </c:pt>
                <c:pt idx="12">
                  <c:v>11.082875362239559</c:v>
                </c:pt>
                <c:pt idx="13">
                  <c:v>12.03662608671868</c:v>
                </c:pt>
                <c:pt idx="14">
                  <c:v>12.990376811197798</c:v>
                </c:pt>
                <c:pt idx="15">
                  <c:v>13.94412753567692</c:v>
                </c:pt>
                <c:pt idx="16">
                  <c:v>14.897878260156038</c:v>
                </c:pt>
                <c:pt idx="17">
                  <c:v>15.851628984635157</c:v>
                </c:pt>
                <c:pt idx="18">
                  <c:v>16.805379709114277</c:v>
                </c:pt>
                <c:pt idx="19">
                  <c:v>17.759130433593391</c:v>
                </c:pt>
                <c:pt idx="20">
                  <c:v>18.712881158072513</c:v>
                </c:pt>
                <c:pt idx="21">
                  <c:v>19.666631882551627</c:v>
                </c:pt>
                <c:pt idx="22">
                  <c:v>20.620382607030749</c:v>
                </c:pt>
                <c:pt idx="23">
                  <c:v>21.574133331509863</c:v>
                </c:pt>
              </c:numCache>
            </c:numRef>
          </c:cat>
          <c:val>
            <c:numRef>
              <c:f>Empirical!$G$9:$G$32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3.0000000000000001E-3</c:v>
                </c:pt>
                <c:pt idx="5">
                  <c:v>1.4999999999999999E-2</c:v>
                </c:pt>
                <c:pt idx="6">
                  <c:v>1.7000000000000001E-2</c:v>
                </c:pt>
                <c:pt idx="7">
                  <c:v>0.04</c:v>
                </c:pt>
                <c:pt idx="8">
                  <c:v>7.1999999999999995E-2</c:v>
                </c:pt>
                <c:pt idx="9">
                  <c:v>9.2999999999999999E-2</c:v>
                </c:pt>
                <c:pt idx="10">
                  <c:v>0.112</c:v>
                </c:pt>
                <c:pt idx="11">
                  <c:v>0.122</c:v>
                </c:pt>
                <c:pt idx="12">
                  <c:v>0.14299999999999999</c:v>
                </c:pt>
                <c:pt idx="13">
                  <c:v>0.13500000000000001</c:v>
                </c:pt>
                <c:pt idx="14">
                  <c:v>9.6000000000000002E-2</c:v>
                </c:pt>
                <c:pt idx="15">
                  <c:v>5.2999999999999999E-2</c:v>
                </c:pt>
                <c:pt idx="16">
                  <c:v>5.3999999999999999E-2</c:v>
                </c:pt>
                <c:pt idx="17">
                  <c:v>2.5000000000000001E-2</c:v>
                </c:pt>
                <c:pt idx="18">
                  <c:v>1.7000000000000001E-2</c:v>
                </c:pt>
                <c:pt idx="19">
                  <c:v>3.0000000000000001E-3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B-46F1-B691-7E43F36A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1980784"/>
        <c:axId val="151979120"/>
      </c:bar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Empirical!$I$9:$I$32</c:f>
              <c:numCache>
                <c:formatCode>0</c:formatCode>
                <c:ptCount val="24"/>
                <c:pt idx="11">
                  <c:v>12.5</c:v>
                </c:pt>
                <c:pt idx="12">
                  <c:v>12.5</c:v>
                </c:pt>
              </c:numCache>
            </c:numRef>
          </c:xVal>
          <c:yVal>
            <c:numRef>
              <c:f>Empirical!$J$9:$J$32</c:f>
              <c:numCache>
                <c:formatCode>General</c:formatCode>
                <c:ptCount val="24"/>
                <c:pt idx="2">
                  <c:v>0</c:v>
                </c:pt>
                <c:pt idx="11" formatCode="0%">
                  <c:v>0</c:v>
                </c:pt>
                <c:pt idx="12" formatCode="0%">
                  <c:v>0.122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AFB-46F1-B691-7E43F36A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80784"/>
        <c:axId val="151979120"/>
      </c:scatterChart>
      <c:catAx>
        <c:axId val="1519807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79120"/>
        <c:crosses val="autoZero"/>
        <c:auto val="1"/>
        <c:lblAlgn val="ctr"/>
        <c:lblOffset val="100"/>
        <c:noMultiLvlLbl val="0"/>
      </c:catAx>
      <c:valAx>
        <c:axId val="1519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loom.com/share/8c4af32501c347b39e60c3d4cf2583ee?sid=9fd2c95b-c368-4792-98dc-f6654dc50c1c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605790</xdr:colOff>
      <xdr:row>4</xdr:row>
      <xdr:rowOff>7620</xdr:rowOff>
    </xdr:from>
    <xdr:to>
      <xdr:col>16</xdr:col>
      <xdr:colOff>45720</xdr:colOff>
      <xdr:row>23</xdr:row>
      <xdr:rowOff>7620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4915F12B-4380-F90E-664C-9329618F0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26</xdr:row>
      <xdr:rowOff>30480</xdr:rowOff>
    </xdr:from>
    <xdr:to>
      <xdr:col>11</xdr:col>
      <xdr:colOff>0</xdr:colOff>
      <xdr:row>28</xdr:row>
      <xdr:rowOff>15240</xdr:rowOff>
    </xdr:to>
    <xdr:sp macro="" textlink="">
      <xdr:nvSpPr>
        <xdr:cNvPr id="43" name="Left Brace 42">
          <a:extLst>
            <a:ext uri="{FF2B5EF4-FFF2-40B4-BE49-F238E27FC236}">
              <a16:creationId xmlns:a16="http://schemas.microsoft.com/office/drawing/2014/main" id="{802D76A7-7D80-0675-A20F-764976E23AB4}"/>
            </a:ext>
          </a:extLst>
        </xdr:cNvPr>
        <xdr:cNvSpPr/>
      </xdr:nvSpPr>
      <xdr:spPr>
        <a:xfrm>
          <a:off x="5783580" y="4808220"/>
          <a:ext cx="396240" cy="350520"/>
        </a:xfrm>
        <a:prstGeom prst="leftBrac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99060</xdr:colOff>
      <xdr:row>26</xdr:row>
      <xdr:rowOff>68580</xdr:rowOff>
    </xdr:from>
    <xdr:ext cx="1089657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E0BAD0B-AB05-92DE-F166-15324E6CA194}"/>
            </a:ext>
          </a:extLst>
        </xdr:cNvPr>
        <xdr:cNvSpPr txBox="1"/>
      </xdr:nvSpPr>
      <xdr:spPr>
        <a:xfrm>
          <a:off x="4678680" y="4846320"/>
          <a:ext cx="1089657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68% of the data</a:t>
          </a:r>
        </a:p>
      </xdr:txBody>
    </xdr:sp>
    <xdr:clientData/>
  </xdr:oneCellAnchor>
  <xdr:twoCellAnchor>
    <xdr:from>
      <xdr:col>10</xdr:col>
      <xdr:colOff>152400</xdr:colOff>
      <xdr:row>24</xdr:row>
      <xdr:rowOff>175260</xdr:rowOff>
    </xdr:from>
    <xdr:to>
      <xdr:col>11</xdr:col>
      <xdr:colOff>0</xdr:colOff>
      <xdr:row>29</xdr:row>
      <xdr:rowOff>0</xdr:rowOff>
    </xdr:to>
    <xdr:sp macro="" textlink="">
      <xdr:nvSpPr>
        <xdr:cNvPr id="45" name="Left Brace 44">
          <a:extLst>
            <a:ext uri="{FF2B5EF4-FFF2-40B4-BE49-F238E27FC236}">
              <a16:creationId xmlns:a16="http://schemas.microsoft.com/office/drawing/2014/main" id="{2EA371A2-B67B-8BDA-5878-54C2E74E317C}"/>
            </a:ext>
          </a:extLst>
        </xdr:cNvPr>
        <xdr:cNvSpPr/>
      </xdr:nvSpPr>
      <xdr:spPr>
        <a:xfrm>
          <a:off x="5913120" y="4587240"/>
          <a:ext cx="266700" cy="739140"/>
        </a:xfrm>
        <a:prstGeom prst="leftBrace">
          <a:avLst>
            <a:gd name="adj1" fmla="val 8333"/>
            <a:gd name="adj2" fmla="val 15979"/>
          </a:avLst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228600</xdr:colOff>
      <xdr:row>24</xdr:row>
      <xdr:rowOff>129540</xdr:rowOff>
    </xdr:from>
    <xdr:ext cx="1089657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595D758-208B-CB76-DE22-51D3C1349C07}"/>
            </a:ext>
          </a:extLst>
        </xdr:cNvPr>
        <xdr:cNvSpPr txBox="1"/>
      </xdr:nvSpPr>
      <xdr:spPr>
        <a:xfrm>
          <a:off x="4808220" y="4541520"/>
          <a:ext cx="1089657" cy="2645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95% of the data</a:t>
          </a:r>
        </a:p>
      </xdr:txBody>
    </xdr:sp>
    <xdr:clientData/>
  </xdr:oneCellAnchor>
  <xdr:twoCellAnchor>
    <xdr:from>
      <xdr:col>10</xdr:col>
      <xdr:colOff>91440</xdr:colOff>
      <xdr:row>24</xdr:row>
      <xdr:rowOff>22860</xdr:rowOff>
    </xdr:from>
    <xdr:to>
      <xdr:col>11</xdr:col>
      <xdr:colOff>0</xdr:colOff>
      <xdr:row>29</xdr:row>
      <xdr:rowOff>175260</xdr:rowOff>
    </xdr:to>
    <xdr:sp macro="" textlink="">
      <xdr:nvSpPr>
        <xdr:cNvPr id="47" name="Left Brace 46">
          <a:extLst>
            <a:ext uri="{FF2B5EF4-FFF2-40B4-BE49-F238E27FC236}">
              <a16:creationId xmlns:a16="http://schemas.microsoft.com/office/drawing/2014/main" id="{673609C4-7FC6-BE83-D166-D804131F7C27}"/>
            </a:ext>
          </a:extLst>
        </xdr:cNvPr>
        <xdr:cNvSpPr/>
      </xdr:nvSpPr>
      <xdr:spPr>
        <a:xfrm>
          <a:off x="5852160" y="4434840"/>
          <a:ext cx="327660" cy="1066800"/>
        </a:xfrm>
        <a:prstGeom prst="leftBrace">
          <a:avLst>
            <a:gd name="adj1" fmla="val 27942"/>
            <a:gd name="adj2" fmla="val 7835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68580</xdr:colOff>
      <xdr:row>28</xdr:row>
      <xdr:rowOff>15240</xdr:rowOff>
    </xdr:from>
    <xdr:ext cx="1196738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79FD2EB-EB18-44BB-BDDE-3CFA923215A9}"/>
            </a:ext>
          </a:extLst>
        </xdr:cNvPr>
        <xdr:cNvSpPr txBox="1"/>
      </xdr:nvSpPr>
      <xdr:spPr>
        <a:xfrm>
          <a:off x="4648200" y="5158740"/>
          <a:ext cx="1196738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99.7% of the data</a:t>
          </a:r>
        </a:p>
      </xdr:txBody>
    </xdr:sp>
    <xdr:clientData/>
  </xdr:oneCellAnchor>
  <xdr:twoCellAnchor editAs="oneCell">
    <xdr:from>
      <xdr:col>17</xdr:col>
      <xdr:colOff>72390</xdr:colOff>
      <xdr:row>2</xdr:row>
      <xdr:rowOff>51435</xdr:rowOff>
    </xdr:from>
    <xdr:to>
      <xdr:col>17</xdr:col>
      <xdr:colOff>340995</xdr:colOff>
      <xdr:row>3</xdr:row>
      <xdr:rowOff>148590</xdr:rowOff>
    </xdr:to>
    <xdr:pic>
      <xdr:nvPicPr>
        <xdr:cNvPr id="50" name="Picture 4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3D8FE7-CF6A-1FB3-62A9-DEFF4DFCD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6065" y="451485"/>
          <a:ext cx="268605" cy="287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loom.com/share/8c4af32501c347b39e60c3d4cf2583ee?sid=9fd2c95b-c368-4792-98dc-f6654dc50c1c" TargetMode="External"/><Relationship Id="rId1" Type="http://schemas.openxmlformats.org/officeDocument/2006/relationships/hyperlink" Target="https://hackmd.io/WWMSFcpiTMyBo4o62tMnGQ?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B977-7AC6-407E-BF4F-EA61019336F6}">
  <dimension ref="A1:V1207"/>
  <sheetViews>
    <sheetView tabSelected="1" workbookViewId="0">
      <selection activeCell="H7" sqref="H7"/>
    </sheetView>
  </sheetViews>
  <sheetFormatPr defaultRowHeight="15" x14ac:dyDescent="0.25"/>
  <cols>
    <col min="1" max="1" width="2.7109375" style="1" customWidth="1"/>
    <col min="2" max="2" width="14.42578125" customWidth="1"/>
    <col min="5" max="5" width="10" style="1" bestFit="1" customWidth="1"/>
    <col min="6" max="6" width="6.5703125" style="1" bestFit="1" customWidth="1"/>
    <col min="7" max="7" width="9.7109375" style="1" bestFit="1" customWidth="1"/>
    <col min="8" max="8" width="5.7109375" style="1" bestFit="1" customWidth="1"/>
    <col min="9" max="9" width="10" bestFit="1" customWidth="1"/>
    <col min="10" max="11" width="7.28515625" customWidth="1"/>
    <col min="12" max="12" width="14.42578125" bestFit="1" customWidth="1"/>
    <col min="13" max="13" width="8.7109375" bestFit="1" customWidth="1"/>
    <col min="14" max="14" width="12.7109375" bestFit="1" customWidth="1"/>
  </cols>
  <sheetData>
    <row r="1" spans="2:22" ht="15.75" thickBot="1" x14ac:dyDescent="0.3">
      <c r="G1" s="1" t="s">
        <v>29</v>
      </c>
    </row>
    <row r="2" spans="2:22" ht="15.75" thickBot="1" x14ac:dyDescent="0.3">
      <c r="B2" s="39" t="s">
        <v>25</v>
      </c>
      <c r="C2" s="40"/>
      <c r="D2" s="40"/>
      <c r="E2" s="40"/>
      <c r="F2" s="30">
        <v>6</v>
      </c>
      <c r="G2" s="44" t="s">
        <v>28</v>
      </c>
      <c r="J2" s="24" t="s">
        <v>4</v>
      </c>
      <c r="K2" s="25" t="s">
        <v>5</v>
      </c>
      <c r="L2" s="25" t="s">
        <v>6</v>
      </c>
      <c r="M2" s="25" t="s">
        <v>30</v>
      </c>
      <c r="N2" s="26" t="s">
        <v>31</v>
      </c>
      <c r="O2" s="23"/>
      <c r="R2" s="36" t="s">
        <v>32</v>
      </c>
      <c r="S2" s="36"/>
      <c r="T2" s="36"/>
      <c r="U2" s="36"/>
      <c r="V2" s="36"/>
    </row>
    <row r="3" spans="2:22" x14ac:dyDescent="0.25">
      <c r="B3" s="37" t="s">
        <v>26</v>
      </c>
      <c r="C3" s="38"/>
      <c r="D3" s="38"/>
      <c r="E3" s="38"/>
      <c r="F3" s="31">
        <v>3</v>
      </c>
      <c r="G3" s="45"/>
      <c r="J3" s="18">
        <f>F2*F3</f>
        <v>18</v>
      </c>
      <c r="K3" s="19">
        <f>F3</f>
        <v>3</v>
      </c>
      <c r="L3" s="19">
        <f>(F2+1)/2*F3</f>
        <v>10.5</v>
      </c>
      <c r="M3" s="20">
        <f>F3*(F2^2-1)/12</f>
        <v>8.75</v>
      </c>
      <c r="N3" s="21">
        <f>SQRT(M3)</f>
        <v>2.9580398915498081</v>
      </c>
      <c r="O3" s="27" t="s">
        <v>6</v>
      </c>
      <c r="R3" s="46" t="s">
        <v>33</v>
      </c>
      <c r="S3" s="46"/>
      <c r="T3" s="46"/>
      <c r="U3" s="46"/>
      <c r="V3" s="46"/>
    </row>
    <row r="4" spans="2:22" ht="15.75" thickBot="1" x14ac:dyDescent="0.3">
      <c r="B4" s="41" t="s">
        <v>27</v>
      </c>
      <c r="C4" s="42"/>
      <c r="D4" s="42"/>
      <c r="E4" s="42"/>
      <c r="F4" s="32">
        <v>1000</v>
      </c>
      <c r="G4" s="33" t="s">
        <v>10</v>
      </c>
      <c r="J4" s="15">
        <f ca="1">MAX(DATA)</f>
        <v>18</v>
      </c>
      <c r="K4" s="16">
        <f ca="1">MIN(DATA)</f>
        <v>3</v>
      </c>
      <c r="L4" s="16">
        <f ca="1">AVERAGE(DATA)</f>
        <v>10.606</v>
      </c>
      <c r="M4" s="17">
        <f ca="1">_xlfn.VAR.P(DATA)</f>
        <v>8.1867640000000002</v>
      </c>
      <c r="N4" s="22">
        <f ca="1">SQRT(M4)</f>
        <v>2.8612521734373573</v>
      </c>
      <c r="O4" s="28" t="s">
        <v>7</v>
      </c>
      <c r="R4" s="46"/>
      <c r="S4" s="46"/>
      <c r="T4" s="46"/>
      <c r="U4" s="46"/>
      <c r="V4" s="46"/>
    </row>
    <row r="6" spans="2:22" x14ac:dyDescent="0.25">
      <c r="B6" s="29"/>
      <c r="C6" s="34" t="s">
        <v>0</v>
      </c>
    </row>
    <row r="7" spans="2:22" x14ac:dyDescent="0.25">
      <c r="B7" s="29">
        <v>1</v>
      </c>
      <c r="C7" s="35" cm="1">
        <f t="array" aca="1" ref="C7" ca="1">IF(ISNA(B7),"",dice(F$2,F$3))</f>
        <v>15</v>
      </c>
      <c r="E7" s="3" t="s">
        <v>8</v>
      </c>
      <c r="F7" s="2">
        <f ca="1">N4/3</f>
        <v>0.95375072447911913</v>
      </c>
    </row>
    <row r="8" spans="2:22" x14ac:dyDescent="0.25">
      <c r="B8" s="29">
        <f>IF(B7&lt;F$4,B7+1,NA())</f>
        <v>2</v>
      </c>
      <c r="C8" s="35" cm="1">
        <f t="array" aca="1" ref="C8" ca="1">IF(ISNA(B8),"",dice(F$2,F$3))</f>
        <v>6</v>
      </c>
      <c r="E8" s="1" t="s">
        <v>1</v>
      </c>
      <c r="F8" s="1" t="s">
        <v>2</v>
      </c>
      <c r="G8" s="1" t="s">
        <v>3</v>
      </c>
      <c r="H8" s="1" t="s">
        <v>9</v>
      </c>
    </row>
    <row r="9" spans="2:22" x14ac:dyDescent="0.25">
      <c r="B9" s="29">
        <f t="shared" ref="B9:B72" si="0">IF(B8&lt;F$4,B8+1,NA())</f>
        <v>3</v>
      </c>
      <c r="C9" s="35" cm="1">
        <f t="array" aca="1" ref="C9" ca="1">IF(ISNA(B9),"",dice(F$2,F$3))</f>
        <v>15</v>
      </c>
      <c r="E9" s="2">
        <f ca="1">L4-4*N4</f>
        <v>-0.83900869374942921</v>
      </c>
      <c r="F9" s="2">
        <f ca="1">E9+F$7</f>
        <v>0.11474203072968991</v>
      </c>
      <c r="G9" s="13" cm="1">
        <f t="array" aca="1" ref="G9:G32" ca="1">FREQUENCY(DATA,F9:F31)/COUNT(DATA)</f>
        <v>0</v>
      </c>
      <c r="H9" s="14" cm="1">
        <f t="array" aca="1" ref="H9:H32" ca="1">(E9:E32+F9:F32)/2</f>
        <v>-0.36213333150986965</v>
      </c>
      <c r="I9" s="12"/>
    </row>
    <row r="10" spans="2:22" x14ac:dyDescent="0.25">
      <c r="B10" s="29">
        <f t="shared" si="0"/>
        <v>4</v>
      </c>
      <c r="C10" s="35" cm="1">
        <f t="array" aca="1" ref="C10" ca="1">IF(ISNA(B10),"",dice(F$2,F$3))</f>
        <v>4</v>
      </c>
      <c r="E10" s="2">
        <f ca="1">F9</f>
        <v>0.11474203072968991</v>
      </c>
      <c r="F10" s="2">
        <f ca="1">E10+F$7</f>
        <v>1.068492755208809</v>
      </c>
      <c r="G10" s="13">
        <f ca="1"/>
        <v>0</v>
      </c>
      <c r="H10" s="14">
        <f ca="1"/>
        <v>0.59161739296924942</v>
      </c>
      <c r="I10" s="12"/>
    </row>
    <row r="11" spans="2:22" x14ac:dyDescent="0.25">
      <c r="B11" s="29">
        <f t="shared" si="0"/>
        <v>5</v>
      </c>
      <c r="C11" s="35" cm="1">
        <f t="array" aca="1" ref="C11" ca="1">IF(ISNA(B11),"",dice(F$2,F$3))</f>
        <v>14</v>
      </c>
      <c r="E11" s="2">
        <f t="shared" ref="E11:E32" ca="1" si="1">F10</f>
        <v>1.068492755208809</v>
      </c>
      <c r="F11" s="2">
        <f t="shared" ref="F11:F32" ca="1" si="2">E11+F$7</f>
        <v>2.0222434796879281</v>
      </c>
      <c r="G11" s="13">
        <f ca="1"/>
        <v>0</v>
      </c>
      <c r="H11" s="14">
        <f ca="1"/>
        <v>1.5453681174483687</v>
      </c>
      <c r="I11" s="12"/>
      <c r="J11" t="str">
        <f>"Relative Frequency for the sum of "&amp;F3&amp;" "&amp;F2&amp;"-sided dice"</f>
        <v>Relative Frequency for the sum of 3 6-sided dice</v>
      </c>
    </row>
    <row r="12" spans="2:22" x14ac:dyDescent="0.25">
      <c r="B12" s="29">
        <f t="shared" si="0"/>
        <v>6</v>
      </c>
      <c r="C12" s="35" cm="1">
        <f t="array" aca="1" ref="C12" ca="1">IF(ISNA(B12),"",dice(F$2,F$3))</f>
        <v>6</v>
      </c>
      <c r="E12" s="2">
        <f t="shared" ca="1" si="1"/>
        <v>2.0222434796879281</v>
      </c>
      <c r="F12" s="2">
        <f t="shared" ca="1" si="2"/>
        <v>2.9759942041670473</v>
      </c>
      <c r="G12" s="13">
        <f ca="1"/>
        <v>0</v>
      </c>
      <c r="H12" s="14">
        <f ca="1"/>
        <v>2.4991188419274879</v>
      </c>
      <c r="I12" s="12"/>
    </row>
    <row r="13" spans="2:22" x14ac:dyDescent="0.25">
      <c r="B13" s="29">
        <f t="shared" si="0"/>
        <v>7</v>
      </c>
      <c r="C13" s="35" cm="1">
        <f t="array" aca="1" ref="C13" ca="1">IF(ISNA(B13),"",dice(F$2,F$3))</f>
        <v>8</v>
      </c>
      <c r="E13" s="2">
        <f t="shared" ca="1" si="1"/>
        <v>2.9759942041670473</v>
      </c>
      <c r="F13" s="2">
        <f t="shared" ca="1" si="2"/>
        <v>3.9297449286461665</v>
      </c>
      <c r="G13" s="13">
        <f ca="1"/>
        <v>3.0000000000000001E-3</v>
      </c>
      <c r="H13" s="14">
        <f ca="1"/>
        <v>3.4528695664066067</v>
      </c>
      <c r="I13" s="12"/>
    </row>
    <row r="14" spans="2:22" x14ac:dyDescent="0.25">
      <c r="B14" s="29">
        <f t="shared" si="0"/>
        <v>8</v>
      </c>
      <c r="C14" s="35" cm="1">
        <f t="array" aca="1" ref="C14" ca="1">IF(ISNA(B14),"",dice(F$2,F$3))</f>
        <v>8</v>
      </c>
      <c r="E14" s="2">
        <f t="shared" ca="1" si="1"/>
        <v>3.9297449286461665</v>
      </c>
      <c r="F14" s="2">
        <f t="shared" ca="1" si="2"/>
        <v>4.8834956531252853</v>
      </c>
      <c r="G14" s="13">
        <f ca="1"/>
        <v>1.4999999999999999E-2</v>
      </c>
      <c r="H14" s="14">
        <f ca="1"/>
        <v>4.4066202908857264</v>
      </c>
      <c r="I14" s="12"/>
    </row>
    <row r="15" spans="2:22" x14ac:dyDescent="0.25">
      <c r="B15" s="29">
        <f t="shared" si="0"/>
        <v>9</v>
      </c>
      <c r="C15" s="35" cm="1">
        <f t="array" aca="1" ref="C15" ca="1">IF(ISNA(B15),"",dice(F$2,F$3))</f>
        <v>14</v>
      </c>
      <c r="E15" s="2">
        <f t="shared" ca="1" si="1"/>
        <v>4.8834956531252853</v>
      </c>
      <c r="F15" s="2">
        <f t="shared" ca="1" si="2"/>
        <v>5.8372463776044041</v>
      </c>
      <c r="G15" s="13">
        <f ca="1"/>
        <v>1.7000000000000001E-2</v>
      </c>
      <c r="H15" s="14">
        <f ca="1"/>
        <v>5.3603710153648443</v>
      </c>
      <c r="I15" s="12"/>
    </row>
    <row r="16" spans="2:22" x14ac:dyDescent="0.25">
      <c r="B16" s="29">
        <f t="shared" si="0"/>
        <v>10</v>
      </c>
      <c r="C16" s="35" cm="1">
        <f t="array" aca="1" ref="C16" ca="1">IF(ISNA(B16),"",dice(F$2,F$3))</f>
        <v>11</v>
      </c>
      <c r="E16" s="2">
        <f t="shared" ca="1" si="1"/>
        <v>5.8372463776044041</v>
      </c>
      <c r="F16" s="2">
        <f t="shared" ca="1" si="2"/>
        <v>6.7909971020835229</v>
      </c>
      <c r="G16" s="13">
        <f ca="1"/>
        <v>0.04</v>
      </c>
      <c r="H16" s="14">
        <f ca="1"/>
        <v>6.314121739843964</v>
      </c>
      <c r="I16" s="12"/>
    </row>
    <row r="17" spans="2:19" x14ac:dyDescent="0.25">
      <c r="B17" s="29">
        <f t="shared" si="0"/>
        <v>11</v>
      </c>
      <c r="C17" s="35" cm="1">
        <f t="array" aca="1" ref="C17" ca="1">IF(ISNA(B17),"",dice(F$2,F$3))</f>
        <v>10</v>
      </c>
      <c r="E17" s="2">
        <f t="shared" ca="1" si="1"/>
        <v>6.7909971020835229</v>
      </c>
      <c r="F17" s="2">
        <f t="shared" ca="1" si="2"/>
        <v>7.7447478265626417</v>
      </c>
      <c r="G17" s="13">
        <f ca="1"/>
        <v>7.1999999999999995E-2</v>
      </c>
      <c r="H17" s="14">
        <f ca="1"/>
        <v>7.2678724643230819</v>
      </c>
      <c r="I17" s="12"/>
    </row>
    <row r="18" spans="2:19" x14ac:dyDescent="0.25">
      <c r="B18" s="29">
        <f t="shared" si="0"/>
        <v>12</v>
      </c>
      <c r="C18" s="35" cm="1">
        <f t="array" aca="1" ref="C18" ca="1">IF(ISNA(B18),"",dice(F$2,F$3))</f>
        <v>9</v>
      </c>
      <c r="E18" s="2">
        <f t="shared" ca="1" si="1"/>
        <v>7.7447478265626417</v>
      </c>
      <c r="F18" s="2">
        <f t="shared" ca="1" si="2"/>
        <v>8.6984985510417605</v>
      </c>
      <c r="G18" s="13">
        <f ca="1"/>
        <v>9.2999999999999999E-2</v>
      </c>
      <c r="H18" s="14">
        <f ca="1"/>
        <v>8.2216231888022016</v>
      </c>
      <c r="I18" s="12"/>
    </row>
    <row r="19" spans="2:19" x14ac:dyDescent="0.25">
      <c r="B19" s="29">
        <f t="shared" si="0"/>
        <v>13</v>
      </c>
      <c r="C19" s="35" cm="1">
        <f t="array" aca="1" ref="C19" ca="1">IF(ISNA(B19),"",dice(F$2,F$3))</f>
        <v>9</v>
      </c>
      <c r="E19" s="2">
        <f t="shared" ca="1" si="1"/>
        <v>8.6984985510417605</v>
      </c>
      <c r="F19" s="2">
        <f t="shared" ca="1" si="2"/>
        <v>9.6522492755208802</v>
      </c>
      <c r="G19" s="13">
        <f ca="1"/>
        <v>0.112</v>
      </c>
      <c r="H19" s="14">
        <f ca="1"/>
        <v>9.1753739132813195</v>
      </c>
      <c r="I19" s="12"/>
    </row>
    <row r="20" spans="2:19" x14ac:dyDescent="0.25">
      <c r="B20" s="29">
        <f t="shared" si="0"/>
        <v>14</v>
      </c>
      <c r="C20" s="35" cm="1">
        <f t="array" aca="1" ref="C20" ca="1">IF(ISNA(B20),"",dice(F$2,F$3))</f>
        <v>15</v>
      </c>
      <c r="E20" s="2">
        <f t="shared" ca="1" si="1"/>
        <v>9.6522492755208802</v>
      </c>
      <c r="F20" s="2">
        <f t="shared" ca="1" si="2"/>
        <v>10.606</v>
      </c>
      <c r="G20" s="13">
        <f ca="1"/>
        <v>0.122</v>
      </c>
      <c r="H20" s="14">
        <f ca="1"/>
        <v>10.129124637760441</v>
      </c>
      <c r="I20" s="12">
        <v>12.5</v>
      </c>
      <c r="J20" s="11">
        <v>0</v>
      </c>
    </row>
    <row r="21" spans="2:19" x14ac:dyDescent="0.25">
      <c r="B21" s="29">
        <f t="shared" si="0"/>
        <v>15</v>
      </c>
      <c r="C21" s="35" cm="1">
        <f t="array" aca="1" ref="C21" ca="1">IF(ISNA(B21),"",dice(F$2,F$3))</f>
        <v>11</v>
      </c>
      <c r="E21" s="2">
        <f t="shared" ca="1" si="1"/>
        <v>10.606</v>
      </c>
      <c r="F21" s="2">
        <f t="shared" ca="1" si="2"/>
        <v>11.55975072447912</v>
      </c>
      <c r="G21" s="13">
        <f ca="1"/>
        <v>0.14299999999999999</v>
      </c>
      <c r="H21" s="14">
        <f ca="1"/>
        <v>11.082875362239559</v>
      </c>
      <c r="I21" s="12">
        <v>12.5</v>
      </c>
      <c r="J21" s="11">
        <f ca="1">G20</f>
        <v>0.122</v>
      </c>
    </row>
    <row r="22" spans="2:19" x14ac:dyDescent="0.25">
      <c r="B22" s="29">
        <f t="shared" si="0"/>
        <v>16</v>
      </c>
      <c r="C22" s="35" cm="1">
        <f t="array" aca="1" ref="C22" ca="1">IF(ISNA(B22),"",dice(F$2,F$3))</f>
        <v>10</v>
      </c>
      <c r="E22" s="2">
        <f t="shared" ca="1" si="1"/>
        <v>11.55975072447912</v>
      </c>
      <c r="F22" s="2">
        <f t="shared" ca="1" si="2"/>
        <v>12.513501448958239</v>
      </c>
      <c r="G22" s="13">
        <f ca="1"/>
        <v>0.13500000000000001</v>
      </c>
      <c r="H22" s="14">
        <f ca="1"/>
        <v>12.03662608671868</v>
      </c>
    </row>
    <row r="23" spans="2:19" x14ac:dyDescent="0.25">
      <c r="B23" s="29">
        <f t="shared" si="0"/>
        <v>17</v>
      </c>
      <c r="C23" s="35" cm="1">
        <f t="array" aca="1" ref="C23" ca="1">IF(ISNA(B23),"",dice(F$2,F$3))</f>
        <v>8</v>
      </c>
      <c r="E23" s="2">
        <f t="shared" ca="1" si="1"/>
        <v>12.513501448958239</v>
      </c>
      <c r="F23" s="2">
        <f t="shared" ca="1" si="2"/>
        <v>13.467252173437359</v>
      </c>
      <c r="G23" s="13">
        <f ca="1"/>
        <v>9.6000000000000002E-2</v>
      </c>
      <c r="H23" s="14">
        <f ca="1"/>
        <v>12.990376811197798</v>
      </c>
    </row>
    <row r="24" spans="2:19" x14ac:dyDescent="0.25">
      <c r="B24" s="29">
        <f t="shared" si="0"/>
        <v>18</v>
      </c>
      <c r="C24" s="35" cm="1">
        <f t="array" aca="1" ref="C24" ca="1">IF(ISNA(B24),"",dice(F$2,F$3))</f>
        <v>11</v>
      </c>
      <c r="E24" s="2">
        <f t="shared" ca="1" si="1"/>
        <v>13.467252173437359</v>
      </c>
      <c r="F24" s="2">
        <f t="shared" ca="1" si="2"/>
        <v>14.421002897916479</v>
      </c>
      <c r="G24" s="13">
        <f ca="1"/>
        <v>5.2999999999999999E-2</v>
      </c>
      <c r="H24" s="14">
        <f ca="1"/>
        <v>13.94412753567692</v>
      </c>
      <c r="I24" s="12"/>
      <c r="M24" s="34" t="s">
        <v>18</v>
      </c>
      <c r="N24" s="34" t="s">
        <v>17</v>
      </c>
    </row>
    <row r="25" spans="2:19" x14ac:dyDescent="0.25">
      <c r="B25" s="29">
        <f t="shared" si="0"/>
        <v>19</v>
      </c>
      <c r="C25" s="35" cm="1">
        <f t="array" aca="1" ref="C25" ca="1">IF(ISNA(B25),"",dice(F$2,F$3))</f>
        <v>11</v>
      </c>
      <c r="E25" s="2">
        <f t="shared" ca="1" si="1"/>
        <v>14.421002897916479</v>
      </c>
      <c r="F25" s="2">
        <f t="shared" ca="1" si="2"/>
        <v>15.374753622395598</v>
      </c>
      <c r="G25" s="13">
        <f ca="1"/>
        <v>5.3999999999999999E-2</v>
      </c>
      <c r="H25" s="14">
        <f ca="1"/>
        <v>14.897878260156038</v>
      </c>
      <c r="I25" s="12"/>
      <c r="L25" s="4" t="s">
        <v>11</v>
      </c>
      <c r="M25" s="8">
        <f ca="1">_xlfn.PERCENTILE.INC(DATA,0.9985)</f>
        <v>18</v>
      </c>
      <c r="N25" s="8">
        <f ca="1">L$4+3*N$4</f>
        <v>19.189756520312073</v>
      </c>
      <c r="O25" s="1" t="s">
        <v>20</v>
      </c>
      <c r="Q25" s="43" t="str">
        <f ca="1">" M = empirical mean = "&amp;L4</f>
        <v xml:space="preserve"> M = empirical mean = 10.606</v>
      </c>
      <c r="R25" s="43"/>
      <c r="S25" s="43"/>
    </row>
    <row r="26" spans="2:19" x14ac:dyDescent="0.25">
      <c r="B26" s="29">
        <f t="shared" si="0"/>
        <v>20</v>
      </c>
      <c r="C26" s="35" cm="1">
        <f t="array" aca="1" ref="C26" ca="1">IF(ISNA(B26),"",dice(F$2,F$3))</f>
        <v>9</v>
      </c>
      <c r="E26" s="2">
        <f t="shared" ca="1" si="1"/>
        <v>15.374753622395598</v>
      </c>
      <c r="F26" s="2">
        <f t="shared" ca="1" si="2"/>
        <v>16.328504346874716</v>
      </c>
      <c r="G26" s="13">
        <f ca="1"/>
        <v>2.5000000000000001E-2</v>
      </c>
      <c r="H26" s="14">
        <f ca="1"/>
        <v>15.851628984635157</v>
      </c>
      <c r="I26" s="12"/>
      <c r="L26" s="5" t="s">
        <v>12</v>
      </c>
      <c r="M26" s="9">
        <f ca="1">_xlfn.PERCENTILE.INC(DATA,0.975)</f>
        <v>16</v>
      </c>
      <c r="N26" s="9">
        <f ca="1">L$4+2*N$4</f>
        <v>16.328504346874716</v>
      </c>
      <c r="O26" s="1" t="s">
        <v>19</v>
      </c>
      <c r="Q26" s="43" t="str">
        <f ca="1">"SD = empirical SD = "&amp;ROUND(N4,3)</f>
        <v>SD = empirical SD = 2.861</v>
      </c>
      <c r="R26" s="43"/>
      <c r="S26" s="43"/>
    </row>
    <row r="27" spans="2:19" x14ac:dyDescent="0.25">
      <c r="B27" s="29">
        <f t="shared" si="0"/>
        <v>21</v>
      </c>
      <c r="C27" s="35" cm="1">
        <f t="array" aca="1" ref="C27" ca="1">IF(ISNA(B27),"",dice(F$2,F$3))</f>
        <v>11</v>
      </c>
      <c r="E27" s="2">
        <f t="shared" ca="1" si="1"/>
        <v>16.328504346874716</v>
      </c>
      <c r="F27" s="2">
        <f t="shared" ca="1" si="2"/>
        <v>17.282255071353834</v>
      </c>
      <c r="G27" s="13">
        <f ca="1"/>
        <v>1.7000000000000001E-2</v>
      </c>
      <c r="H27" s="14">
        <f ca="1"/>
        <v>16.805379709114277</v>
      </c>
      <c r="I27" s="12"/>
      <c r="L27" s="6" t="s">
        <v>13</v>
      </c>
      <c r="M27" s="10">
        <f ca="1">_xlfn.PERCENTILE.INC(DATA,0.84)</f>
        <v>13</v>
      </c>
      <c r="N27" s="10">
        <f ca="1">L$4+1*N$4</f>
        <v>13.467252173437357</v>
      </c>
      <c r="O27" s="1" t="s">
        <v>21</v>
      </c>
    </row>
    <row r="28" spans="2:19" x14ac:dyDescent="0.25">
      <c r="B28" s="29">
        <f t="shared" si="0"/>
        <v>22</v>
      </c>
      <c r="C28" s="35" cm="1">
        <f t="array" aca="1" ref="C28" ca="1">IF(ISNA(B28),"",dice(F$2,F$3))</f>
        <v>16</v>
      </c>
      <c r="E28" s="2">
        <f t="shared" ca="1" si="1"/>
        <v>17.282255071353834</v>
      </c>
      <c r="F28" s="2">
        <f t="shared" ca="1" si="2"/>
        <v>18.236005795832952</v>
      </c>
      <c r="G28" s="13">
        <f ca="1"/>
        <v>3.0000000000000001E-3</v>
      </c>
      <c r="H28" s="14">
        <f ca="1"/>
        <v>17.759130433593391</v>
      </c>
      <c r="I28" s="12"/>
      <c r="L28" s="6" t="s">
        <v>14</v>
      </c>
      <c r="M28" s="10">
        <f ca="1">_xlfn.PERCENTILE.INC(DATA,0.16)</f>
        <v>8</v>
      </c>
      <c r="N28" s="10">
        <f ca="1">L$4+-1*N$4</f>
        <v>7.7447478265626426</v>
      </c>
      <c r="O28" s="1" t="s">
        <v>22</v>
      </c>
    </row>
    <row r="29" spans="2:19" x14ac:dyDescent="0.25">
      <c r="B29" s="29">
        <f t="shared" si="0"/>
        <v>23</v>
      </c>
      <c r="C29" s="35" cm="1">
        <f t="array" aca="1" ref="C29" ca="1">IF(ISNA(B29),"",dice(F$2,F$3))</f>
        <v>10</v>
      </c>
      <c r="E29" s="2">
        <f t="shared" ca="1" si="1"/>
        <v>18.236005795832952</v>
      </c>
      <c r="F29" s="2">
        <f t="shared" ca="1" si="2"/>
        <v>19.18975652031207</v>
      </c>
      <c r="G29" s="13">
        <f ca="1"/>
        <v>0</v>
      </c>
      <c r="H29" s="14">
        <f ca="1"/>
        <v>18.712881158072513</v>
      </c>
      <c r="I29" s="12"/>
      <c r="L29" s="5" t="s">
        <v>15</v>
      </c>
      <c r="M29" s="9">
        <f ca="1">_xlfn.PERCENTILE.INC(DATA,0.025)</f>
        <v>5</v>
      </c>
      <c r="N29" s="9">
        <f ca="1">L$4+-2*N$4</f>
        <v>4.8834956531252853</v>
      </c>
      <c r="O29" s="1" t="s">
        <v>23</v>
      </c>
    </row>
    <row r="30" spans="2:19" x14ac:dyDescent="0.25">
      <c r="B30" s="29">
        <f t="shared" si="0"/>
        <v>24</v>
      </c>
      <c r="C30" s="35" cm="1">
        <f t="array" aca="1" ref="C30" ca="1">IF(ISNA(B30),"",dice(F$2,F$3))</f>
        <v>10</v>
      </c>
      <c r="E30" s="2">
        <f t="shared" ca="1" si="1"/>
        <v>19.18975652031207</v>
      </c>
      <c r="F30" s="2">
        <f t="shared" ca="1" si="2"/>
        <v>20.143507244791188</v>
      </c>
      <c r="G30" s="13">
        <f ca="1"/>
        <v>0</v>
      </c>
      <c r="H30" s="14">
        <f ca="1"/>
        <v>19.666631882551627</v>
      </c>
      <c r="I30" s="12"/>
      <c r="L30" s="7" t="s">
        <v>16</v>
      </c>
      <c r="M30" s="8">
        <f ca="1">_xlfn.PERCENTILE.INC(DATA,0.0015)</f>
        <v>3</v>
      </c>
      <c r="N30" s="8">
        <f ca="1">L$4+-3*N$4</f>
        <v>2.0222434796879281</v>
      </c>
      <c r="O30" s="1" t="s">
        <v>24</v>
      </c>
    </row>
    <row r="31" spans="2:19" x14ac:dyDescent="0.25">
      <c r="B31" s="29">
        <f t="shared" si="0"/>
        <v>25</v>
      </c>
      <c r="C31" s="35" cm="1">
        <f t="array" aca="1" ref="C31" ca="1">IF(ISNA(B31),"",dice(F$2,F$3))</f>
        <v>9</v>
      </c>
      <c r="E31" s="2">
        <f t="shared" ca="1" si="1"/>
        <v>20.143507244791188</v>
      </c>
      <c r="F31" s="2">
        <f t="shared" ca="1" si="2"/>
        <v>21.097257969270306</v>
      </c>
      <c r="G31" s="13">
        <f ca="1"/>
        <v>0</v>
      </c>
      <c r="H31" s="14">
        <f ca="1"/>
        <v>20.620382607030749</v>
      </c>
      <c r="I31" s="12"/>
    </row>
    <row r="32" spans="2:19" x14ac:dyDescent="0.25">
      <c r="B32" s="29">
        <f t="shared" si="0"/>
        <v>26</v>
      </c>
      <c r="C32" s="35" cm="1">
        <f t="array" aca="1" ref="C32" ca="1">IF(ISNA(B32),"",dice(F$2,F$3))</f>
        <v>8</v>
      </c>
      <c r="E32" s="2">
        <f t="shared" ca="1" si="1"/>
        <v>21.097257969270306</v>
      </c>
      <c r="F32" s="2">
        <f t="shared" ca="1" si="2"/>
        <v>22.051008693749424</v>
      </c>
      <c r="G32" s="13">
        <f ca="1"/>
        <v>0</v>
      </c>
      <c r="H32" s="14">
        <f ca="1"/>
        <v>21.574133331509863</v>
      </c>
      <c r="I32" s="12"/>
    </row>
    <row r="33" spans="2:6" x14ac:dyDescent="0.25">
      <c r="B33" s="29">
        <f t="shared" si="0"/>
        <v>27</v>
      </c>
      <c r="C33" s="35" cm="1">
        <f t="array" aca="1" ref="C33" ca="1">IF(ISNA(B33),"",dice(F$2,F$3))</f>
        <v>12</v>
      </c>
      <c r="E33" s="2"/>
      <c r="F33" s="2"/>
    </row>
    <row r="34" spans="2:6" x14ac:dyDescent="0.25">
      <c r="B34" s="29">
        <f t="shared" si="0"/>
        <v>28</v>
      </c>
      <c r="C34" s="35" cm="1">
        <f t="array" aca="1" ref="C34" ca="1">IF(ISNA(B34),"",dice(F$2,F$3))</f>
        <v>11</v>
      </c>
    </row>
    <row r="35" spans="2:6" x14ac:dyDescent="0.25">
      <c r="B35" s="29">
        <f t="shared" si="0"/>
        <v>29</v>
      </c>
      <c r="C35" s="35" cm="1">
        <f t="array" aca="1" ref="C35" ca="1">IF(ISNA(B35),"",dice(F$2,F$3))</f>
        <v>8</v>
      </c>
    </row>
    <row r="36" spans="2:6" x14ac:dyDescent="0.25">
      <c r="B36" s="29">
        <f t="shared" si="0"/>
        <v>30</v>
      </c>
      <c r="C36" s="35" cm="1">
        <f t="array" aca="1" ref="C36" ca="1">IF(ISNA(B36),"",dice(F$2,F$3))</f>
        <v>10</v>
      </c>
    </row>
    <row r="37" spans="2:6" x14ac:dyDescent="0.25">
      <c r="B37" s="29">
        <f t="shared" si="0"/>
        <v>31</v>
      </c>
      <c r="C37" s="35" cm="1">
        <f t="array" aca="1" ref="C37" ca="1">IF(ISNA(B37),"",dice(F$2,F$3))</f>
        <v>7</v>
      </c>
    </row>
    <row r="38" spans="2:6" x14ac:dyDescent="0.25">
      <c r="B38" s="29">
        <f t="shared" si="0"/>
        <v>32</v>
      </c>
      <c r="C38" s="35" cm="1">
        <f t="array" aca="1" ref="C38" ca="1">IF(ISNA(B38),"",dice(F$2,F$3))</f>
        <v>17</v>
      </c>
    </row>
    <row r="39" spans="2:6" x14ac:dyDescent="0.25">
      <c r="B39" s="29">
        <f t="shared" si="0"/>
        <v>33</v>
      </c>
      <c r="C39" s="35" cm="1">
        <f t="array" aca="1" ref="C39" ca="1">IF(ISNA(B39),"",dice(F$2,F$3))</f>
        <v>11</v>
      </c>
    </row>
    <row r="40" spans="2:6" x14ac:dyDescent="0.25">
      <c r="B40" s="29">
        <f t="shared" si="0"/>
        <v>34</v>
      </c>
      <c r="C40" s="35" cm="1">
        <f t="array" aca="1" ref="C40" ca="1">IF(ISNA(B40),"",dice(F$2,F$3))</f>
        <v>9</v>
      </c>
    </row>
    <row r="41" spans="2:6" x14ac:dyDescent="0.25">
      <c r="B41" s="29">
        <f t="shared" si="0"/>
        <v>35</v>
      </c>
      <c r="C41" s="35" cm="1">
        <f t="array" aca="1" ref="C41" ca="1">IF(ISNA(B41),"",dice(F$2,F$3))</f>
        <v>9</v>
      </c>
    </row>
    <row r="42" spans="2:6" x14ac:dyDescent="0.25">
      <c r="B42" s="29">
        <f t="shared" si="0"/>
        <v>36</v>
      </c>
      <c r="C42" s="35" cm="1">
        <f t="array" aca="1" ref="C42" ca="1">IF(ISNA(B42),"",dice(F$2,F$3))</f>
        <v>10</v>
      </c>
    </row>
    <row r="43" spans="2:6" x14ac:dyDescent="0.25">
      <c r="B43" s="29">
        <f t="shared" si="0"/>
        <v>37</v>
      </c>
      <c r="C43" s="35" cm="1">
        <f t="array" aca="1" ref="C43" ca="1">IF(ISNA(B43),"",dice(F$2,F$3))</f>
        <v>8</v>
      </c>
    </row>
    <row r="44" spans="2:6" x14ac:dyDescent="0.25">
      <c r="B44" s="29">
        <f t="shared" si="0"/>
        <v>38</v>
      </c>
      <c r="C44" s="35" cm="1">
        <f t="array" aca="1" ref="C44" ca="1">IF(ISNA(B44),"",dice(F$2,F$3))</f>
        <v>11</v>
      </c>
    </row>
    <row r="45" spans="2:6" x14ac:dyDescent="0.25">
      <c r="B45" s="29">
        <f t="shared" si="0"/>
        <v>39</v>
      </c>
      <c r="C45" s="35" cm="1">
        <f t="array" aca="1" ref="C45" ca="1">IF(ISNA(B45),"",dice(F$2,F$3))</f>
        <v>10</v>
      </c>
    </row>
    <row r="46" spans="2:6" x14ac:dyDescent="0.25">
      <c r="B46" s="29">
        <f t="shared" si="0"/>
        <v>40</v>
      </c>
      <c r="C46" s="35" cm="1">
        <f t="array" aca="1" ref="C46" ca="1">IF(ISNA(B46),"",dice(F$2,F$3))</f>
        <v>13</v>
      </c>
    </row>
    <row r="47" spans="2:6" x14ac:dyDescent="0.25">
      <c r="B47" s="29">
        <f t="shared" si="0"/>
        <v>41</v>
      </c>
      <c r="C47" s="35" cm="1">
        <f t="array" aca="1" ref="C47" ca="1">IF(ISNA(B47),"",dice(F$2,F$3))</f>
        <v>9</v>
      </c>
    </row>
    <row r="48" spans="2:6" x14ac:dyDescent="0.25">
      <c r="B48" s="29">
        <f t="shared" si="0"/>
        <v>42</v>
      </c>
      <c r="C48" s="35" cm="1">
        <f t="array" aca="1" ref="C48" ca="1">IF(ISNA(B48),"",dice(F$2,F$3))</f>
        <v>9</v>
      </c>
    </row>
    <row r="49" spans="2:3" x14ac:dyDescent="0.25">
      <c r="B49" s="29">
        <f t="shared" si="0"/>
        <v>43</v>
      </c>
      <c r="C49" s="35" cm="1">
        <f t="array" aca="1" ref="C49" ca="1">IF(ISNA(B49),"",dice(F$2,F$3))</f>
        <v>16</v>
      </c>
    </row>
    <row r="50" spans="2:3" x14ac:dyDescent="0.25">
      <c r="B50" s="29">
        <f t="shared" si="0"/>
        <v>44</v>
      </c>
      <c r="C50" s="35" cm="1">
        <f t="array" aca="1" ref="C50" ca="1">IF(ISNA(B50),"",dice(F$2,F$3))</f>
        <v>4</v>
      </c>
    </row>
    <row r="51" spans="2:3" x14ac:dyDescent="0.25">
      <c r="B51" s="29">
        <f t="shared" si="0"/>
        <v>45</v>
      </c>
      <c r="C51" s="35" cm="1">
        <f t="array" aca="1" ref="C51" ca="1">IF(ISNA(B51),"",dice(F$2,F$3))</f>
        <v>13</v>
      </c>
    </row>
    <row r="52" spans="2:3" x14ac:dyDescent="0.25">
      <c r="B52" s="29">
        <f t="shared" si="0"/>
        <v>46</v>
      </c>
      <c r="C52" s="35" cm="1">
        <f t="array" aca="1" ref="C52" ca="1">IF(ISNA(B52),"",dice(F$2,F$3))</f>
        <v>10</v>
      </c>
    </row>
    <row r="53" spans="2:3" x14ac:dyDescent="0.25">
      <c r="B53" s="29">
        <f t="shared" si="0"/>
        <v>47</v>
      </c>
      <c r="C53" s="35" cm="1">
        <f t="array" aca="1" ref="C53" ca="1">IF(ISNA(B53),"",dice(F$2,F$3))</f>
        <v>5</v>
      </c>
    </row>
    <row r="54" spans="2:3" x14ac:dyDescent="0.25">
      <c r="B54" s="29">
        <f t="shared" si="0"/>
        <v>48</v>
      </c>
      <c r="C54" s="35" cm="1">
        <f t="array" aca="1" ref="C54" ca="1">IF(ISNA(B54),"",dice(F$2,F$3))</f>
        <v>13</v>
      </c>
    </row>
    <row r="55" spans="2:3" x14ac:dyDescent="0.25">
      <c r="B55" s="29">
        <f t="shared" si="0"/>
        <v>49</v>
      </c>
      <c r="C55" s="35" cm="1">
        <f t="array" aca="1" ref="C55" ca="1">IF(ISNA(B55),"",dice(F$2,F$3))</f>
        <v>12</v>
      </c>
    </row>
    <row r="56" spans="2:3" x14ac:dyDescent="0.25">
      <c r="B56" s="29">
        <f t="shared" si="0"/>
        <v>50</v>
      </c>
      <c r="C56" s="35" cm="1">
        <f t="array" aca="1" ref="C56" ca="1">IF(ISNA(B56),"",dice(F$2,F$3))</f>
        <v>10</v>
      </c>
    </row>
    <row r="57" spans="2:3" x14ac:dyDescent="0.25">
      <c r="B57" s="29">
        <f t="shared" si="0"/>
        <v>51</v>
      </c>
      <c r="C57" s="35" cm="1">
        <f t="array" aca="1" ref="C57" ca="1">IF(ISNA(B57),"",dice(F$2,F$3))</f>
        <v>10</v>
      </c>
    </row>
    <row r="58" spans="2:3" x14ac:dyDescent="0.25">
      <c r="B58" s="29">
        <f t="shared" si="0"/>
        <v>52</v>
      </c>
      <c r="C58" s="35" cm="1">
        <f t="array" aca="1" ref="C58" ca="1">IF(ISNA(B58),"",dice(F$2,F$3))</f>
        <v>8</v>
      </c>
    </row>
    <row r="59" spans="2:3" x14ac:dyDescent="0.25">
      <c r="B59" s="29">
        <f t="shared" si="0"/>
        <v>53</v>
      </c>
      <c r="C59" s="35" cm="1">
        <f t="array" aca="1" ref="C59" ca="1">IF(ISNA(B59),"",dice(F$2,F$3))</f>
        <v>13</v>
      </c>
    </row>
    <row r="60" spans="2:3" x14ac:dyDescent="0.25">
      <c r="B60" s="29">
        <f t="shared" si="0"/>
        <v>54</v>
      </c>
      <c r="C60" s="35" cm="1">
        <f t="array" aca="1" ref="C60" ca="1">IF(ISNA(B60),"",dice(F$2,F$3))</f>
        <v>11</v>
      </c>
    </row>
    <row r="61" spans="2:3" x14ac:dyDescent="0.25">
      <c r="B61" s="29">
        <f t="shared" si="0"/>
        <v>55</v>
      </c>
      <c r="C61" s="35" cm="1">
        <f t="array" aca="1" ref="C61" ca="1">IF(ISNA(B61),"",dice(F$2,F$3))</f>
        <v>8</v>
      </c>
    </row>
    <row r="62" spans="2:3" x14ac:dyDescent="0.25">
      <c r="B62" s="29">
        <f t="shared" si="0"/>
        <v>56</v>
      </c>
      <c r="C62" s="35" cm="1">
        <f t="array" aca="1" ref="C62" ca="1">IF(ISNA(B62),"",dice(F$2,F$3))</f>
        <v>6</v>
      </c>
    </row>
    <row r="63" spans="2:3" x14ac:dyDescent="0.25">
      <c r="B63" s="29">
        <f t="shared" si="0"/>
        <v>57</v>
      </c>
      <c r="C63" s="35" cm="1">
        <f t="array" aca="1" ref="C63" ca="1">IF(ISNA(B63),"",dice(F$2,F$3))</f>
        <v>13</v>
      </c>
    </row>
    <row r="64" spans="2:3" x14ac:dyDescent="0.25">
      <c r="B64" s="29">
        <f t="shared" si="0"/>
        <v>58</v>
      </c>
      <c r="C64" s="35" cm="1">
        <f t="array" aca="1" ref="C64" ca="1">IF(ISNA(B64),"",dice(F$2,F$3))</f>
        <v>12</v>
      </c>
    </row>
    <row r="65" spans="2:3" x14ac:dyDescent="0.25">
      <c r="B65" s="29">
        <f t="shared" si="0"/>
        <v>59</v>
      </c>
      <c r="C65" s="35" cm="1">
        <f t="array" aca="1" ref="C65" ca="1">IF(ISNA(B65),"",dice(F$2,F$3))</f>
        <v>14</v>
      </c>
    </row>
    <row r="66" spans="2:3" x14ac:dyDescent="0.25">
      <c r="B66" s="29">
        <f t="shared" si="0"/>
        <v>60</v>
      </c>
      <c r="C66" s="35" cm="1">
        <f t="array" aca="1" ref="C66" ca="1">IF(ISNA(B66),"",dice(F$2,F$3))</f>
        <v>8</v>
      </c>
    </row>
    <row r="67" spans="2:3" x14ac:dyDescent="0.25">
      <c r="B67" s="29">
        <f t="shared" si="0"/>
        <v>61</v>
      </c>
      <c r="C67" s="35" cm="1">
        <f t="array" aca="1" ref="C67" ca="1">IF(ISNA(B67),"",dice(F$2,F$3))</f>
        <v>6</v>
      </c>
    </row>
    <row r="68" spans="2:3" x14ac:dyDescent="0.25">
      <c r="B68" s="29">
        <f t="shared" si="0"/>
        <v>62</v>
      </c>
      <c r="C68" s="35" cm="1">
        <f t="array" aca="1" ref="C68" ca="1">IF(ISNA(B68),"",dice(F$2,F$3))</f>
        <v>10</v>
      </c>
    </row>
    <row r="69" spans="2:3" x14ac:dyDescent="0.25">
      <c r="B69" s="29">
        <f t="shared" si="0"/>
        <v>63</v>
      </c>
      <c r="C69" s="35" cm="1">
        <f t="array" aca="1" ref="C69" ca="1">IF(ISNA(B69),"",dice(F$2,F$3))</f>
        <v>11</v>
      </c>
    </row>
    <row r="70" spans="2:3" x14ac:dyDescent="0.25">
      <c r="B70" s="29">
        <f t="shared" si="0"/>
        <v>64</v>
      </c>
      <c r="C70" s="35" cm="1">
        <f t="array" aca="1" ref="C70" ca="1">IF(ISNA(B70),"",dice(F$2,F$3))</f>
        <v>11</v>
      </c>
    </row>
    <row r="71" spans="2:3" x14ac:dyDescent="0.25">
      <c r="B71" s="29">
        <f t="shared" si="0"/>
        <v>65</v>
      </c>
      <c r="C71" s="35" cm="1">
        <f t="array" aca="1" ref="C71" ca="1">IF(ISNA(B71),"",dice(F$2,F$3))</f>
        <v>4</v>
      </c>
    </row>
    <row r="72" spans="2:3" x14ac:dyDescent="0.25">
      <c r="B72" s="29">
        <f t="shared" si="0"/>
        <v>66</v>
      </c>
      <c r="C72" s="35" cm="1">
        <f t="array" aca="1" ref="C72" ca="1">IF(ISNA(B72),"",dice(F$2,F$3))</f>
        <v>9</v>
      </c>
    </row>
    <row r="73" spans="2:3" x14ac:dyDescent="0.25">
      <c r="B73" s="29">
        <f t="shared" ref="B73:B136" si="3">IF(B72&lt;F$4,B72+1,NA())</f>
        <v>67</v>
      </c>
      <c r="C73" s="35" cm="1">
        <f t="array" aca="1" ref="C73" ca="1">IF(ISNA(B73),"",dice(F$2,F$3))</f>
        <v>10</v>
      </c>
    </row>
    <row r="74" spans="2:3" x14ac:dyDescent="0.25">
      <c r="B74" s="29">
        <f t="shared" si="3"/>
        <v>68</v>
      </c>
      <c r="C74" s="35" cm="1">
        <f t="array" aca="1" ref="C74" ca="1">IF(ISNA(B74),"",dice(F$2,F$3))</f>
        <v>14</v>
      </c>
    </row>
    <row r="75" spans="2:3" x14ac:dyDescent="0.25">
      <c r="B75" s="29">
        <f t="shared" si="3"/>
        <v>69</v>
      </c>
      <c r="C75" s="35" cm="1">
        <f t="array" aca="1" ref="C75" ca="1">IF(ISNA(B75),"",dice(F$2,F$3))</f>
        <v>8</v>
      </c>
    </row>
    <row r="76" spans="2:3" x14ac:dyDescent="0.25">
      <c r="B76" s="29">
        <f t="shared" si="3"/>
        <v>70</v>
      </c>
      <c r="C76" s="35" cm="1">
        <f t="array" aca="1" ref="C76" ca="1">IF(ISNA(B76),"",dice(F$2,F$3))</f>
        <v>10</v>
      </c>
    </row>
    <row r="77" spans="2:3" x14ac:dyDescent="0.25">
      <c r="B77" s="29">
        <f t="shared" si="3"/>
        <v>71</v>
      </c>
      <c r="C77" s="35" cm="1">
        <f t="array" aca="1" ref="C77" ca="1">IF(ISNA(B77),"",dice(F$2,F$3))</f>
        <v>9</v>
      </c>
    </row>
    <row r="78" spans="2:3" x14ac:dyDescent="0.25">
      <c r="B78" s="29">
        <f t="shared" si="3"/>
        <v>72</v>
      </c>
      <c r="C78" s="35" cm="1">
        <f t="array" aca="1" ref="C78" ca="1">IF(ISNA(B78),"",dice(F$2,F$3))</f>
        <v>9</v>
      </c>
    </row>
    <row r="79" spans="2:3" x14ac:dyDescent="0.25">
      <c r="B79" s="29">
        <f t="shared" si="3"/>
        <v>73</v>
      </c>
      <c r="C79" s="35" cm="1">
        <f t="array" aca="1" ref="C79" ca="1">IF(ISNA(B79),"",dice(F$2,F$3))</f>
        <v>12</v>
      </c>
    </row>
    <row r="80" spans="2:3" x14ac:dyDescent="0.25">
      <c r="B80" s="29">
        <f t="shared" si="3"/>
        <v>74</v>
      </c>
      <c r="C80" s="35" cm="1">
        <f t="array" aca="1" ref="C80" ca="1">IF(ISNA(B80),"",dice(F$2,F$3))</f>
        <v>9</v>
      </c>
    </row>
    <row r="81" spans="2:3" x14ac:dyDescent="0.25">
      <c r="B81" s="29">
        <f t="shared" si="3"/>
        <v>75</v>
      </c>
      <c r="C81" s="35" cm="1">
        <f t="array" aca="1" ref="C81" ca="1">IF(ISNA(B81),"",dice(F$2,F$3))</f>
        <v>12</v>
      </c>
    </row>
    <row r="82" spans="2:3" x14ac:dyDescent="0.25">
      <c r="B82" s="29">
        <f t="shared" si="3"/>
        <v>76</v>
      </c>
      <c r="C82" s="35" cm="1">
        <f t="array" aca="1" ref="C82" ca="1">IF(ISNA(B82),"",dice(F$2,F$3))</f>
        <v>9</v>
      </c>
    </row>
    <row r="83" spans="2:3" x14ac:dyDescent="0.25">
      <c r="B83" s="29">
        <f t="shared" si="3"/>
        <v>77</v>
      </c>
      <c r="C83" s="35" cm="1">
        <f t="array" aca="1" ref="C83" ca="1">IF(ISNA(B83),"",dice(F$2,F$3))</f>
        <v>13</v>
      </c>
    </row>
    <row r="84" spans="2:3" x14ac:dyDescent="0.25">
      <c r="B84" s="29">
        <f t="shared" si="3"/>
        <v>78</v>
      </c>
      <c r="C84" s="35" cm="1">
        <f t="array" aca="1" ref="C84" ca="1">IF(ISNA(B84),"",dice(F$2,F$3))</f>
        <v>8</v>
      </c>
    </row>
    <row r="85" spans="2:3" x14ac:dyDescent="0.25">
      <c r="B85" s="29">
        <f t="shared" si="3"/>
        <v>79</v>
      </c>
      <c r="C85" s="35" cm="1">
        <f t="array" aca="1" ref="C85" ca="1">IF(ISNA(B85),"",dice(F$2,F$3))</f>
        <v>9</v>
      </c>
    </row>
    <row r="86" spans="2:3" x14ac:dyDescent="0.25">
      <c r="B86" s="29">
        <f t="shared" si="3"/>
        <v>80</v>
      </c>
      <c r="C86" s="35" cm="1">
        <f t="array" aca="1" ref="C86" ca="1">IF(ISNA(B86),"",dice(F$2,F$3))</f>
        <v>9</v>
      </c>
    </row>
    <row r="87" spans="2:3" x14ac:dyDescent="0.25">
      <c r="B87" s="29">
        <f t="shared" si="3"/>
        <v>81</v>
      </c>
      <c r="C87" s="35" cm="1">
        <f t="array" aca="1" ref="C87" ca="1">IF(ISNA(B87),"",dice(F$2,F$3))</f>
        <v>7</v>
      </c>
    </row>
    <row r="88" spans="2:3" x14ac:dyDescent="0.25">
      <c r="B88" s="29">
        <f t="shared" si="3"/>
        <v>82</v>
      </c>
      <c r="C88" s="35" cm="1">
        <f t="array" aca="1" ref="C88" ca="1">IF(ISNA(B88),"",dice(F$2,F$3))</f>
        <v>12</v>
      </c>
    </row>
    <row r="89" spans="2:3" x14ac:dyDescent="0.25">
      <c r="B89" s="29">
        <f t="shared" si="3"/>
        <v>83</v>
      </c>
      <c r="C89" s="35" cm="1">
        <f t="array" aca="1" ref="C89" ca="1">IF(ISNA(B89),"",dice(F$2,F$3))</f>
        <v>13</v>
      </c>
    </row>
    <row r="90" spans="2:3" x14ac:dyDescent="0.25">
      <c r="B90" s="29">
        <f t="shared" si="3"/>
        <v>84</v>
      </c>
      <c r="C90" s="35" cm="1">
        <f t="array" aca="1" ref="C90" ca="1">IF(ISNA(B90),"",dice(F$2,F$3))</f>
        <v>8</v>
      </c>
    </row>
    <row r="91" spans="2:3" x14ac:dyDescent="0.25">
      <c r="B91" s="29">
        <f t="shared" si="3"/>
        <v>85</v>
      </c>
      <c r="C91" s="35" cm="1">
        <f t="array" aca="1" ref="C91" ca="1">IF(ISNA(B91),"",dice(F$2,F$3))</f>
        <v>13</v>
      </c>
    </row>
    <row r="92" spans="2:3" x14ac:dyDescent="0.25">
      <c r="B92" s="29">
        <f t="shared" si="3"/>
        <v>86</v>
      </c>
      <c r="C92" s="35" cm="1">
        <f t="array" aca="1" ref="C92" ca="1">IF(ISNA(B92),"",dice(F$2,F$3))</f>
        <v>9</v>
      </c>
    </row>
    <row r="93" spans="2:3" x14ac:dyDescent="0.25">
      <c r="B93" s="29">
        <f t="shared" si="3"/>
        <v>87</v>
      </c>
      <c r="C93" s="35" cm="1">
        <f t="array" aca="1" ref="C93" ca="1">IF(ISNA(B93),"",dice(F$2,F$3))</f>
        <v>10</v>
      </c>
    </row>
    <row r="94" spans="2:3" x14ac:dyDescent="0.25">
      <c r="B94" s="29">
        <f t="shared" si="3"/>
        <v>88</v>
      </c>
      <c r="C94" s="35" cm="1">
        <f t="array" aca="1" ref="C94" ca="1">IF(ISNA(B94),"",dice(F$2,F$3))</f>
        <v>12</v>
      </c>
    </row>
    <row r="95" spans="2:3" x14ac:dyDescent="0.25">
      <c r="B95" s="29">
        <f t="shared" si="3"/>
        <v>89</v>
      </c>
      <c r="C95" s="35" cm="1">
        <f t="array" aca="1" ref="C95" ca="1">IF(ISNA(B95),"",dice(F$2,F$3))</f>
        <v>13</v>
      </c>
    </row>
    <row r="96" spans="2:3" x14ac:dyDescent="0.25">
      <c r="B96" s="29">
        <f t="shared" si="3"/>
        <v>90</v>
      </c>
      <c r="C96" s="35" cm="1">
        <f t="array" aca="1" ref="C96" ca="1">IF(ISNA(B96),"",dice(F$2,F$3))</f>
        <v>6</v>
      </c>
    </row>
    <row r="97" spans="2:3" x14ac:dyDescent="0.25">
      <c r="B97" s="29">
        <f t="shared" si="3"/>
        <v>91</v>
      </c>
      <c r="C97" s="35" cm="1">
        <f t="array" aca="1" ref="C97" ca="1">IF(ISNA(B97),"",dice(F$2,F$3))</f>
        <v>12</v>
      </c>
    </row>
    <row r="98" spans="2:3" x14ac:dyDescent="0.25">
      <c r="B98" s="29">
        <f t="shared" si="3"/>
        <v>92</v>
      </c>
      <c r="C98" s="35" cm="1">
        <f t="array" aca="1" ref="C98" ca="1">IF(ISNA(B98),"",dice(F$2,F$3))</f>
        <v>8</v>
      </c>
    </row>
    <row r="99" spans="2:3" x14ac:dyDescent="0.25">
      <c r="B99" s="29">
        <f t="shared" si="3"/>
        <v>93</v>
      </c>
      <c r="C99" s="35" cm="1">
        <f t="array" aca="1" ref="C99" ca="1">IF(ISNA(B99),"",dice(F$2,F$3))</f>
        <v>9</v>
      </c>
    </row>
    <row r="100" spans="2:3" x14ac:dyDescent="0.25">
      <c r="B100" s="29">
        <f t="shared" si="3"/>
        <v>94</v>
      </c>
      <c r="C100" s="35" cm="1">
        <f t="array" aca="1" ref="C100" ca="1">IF(ISNA(B100),"",dice(F$2,F$3))</f>
        <v>13</v>
      </c>
    </row>
    <row r="101" spans="2:3" x14ac:dyDescent="0.25">
      <c r="B101" s="29">
        <f t="shared" si="3"/>
        <v>95</v>
      </c>
      <c r="C101" s="35" cm="1">
        <f t="array" aca="1" ref="C101" ca="1">IF(ISNA(B101),"",dice(F$2,F$3))</f>
        <v>11</v>
      </c>
    </row>
    <row r="102" spans="2:3" x14ac:dyDescent="0.25">
      <c r="B102" s="29">
        <f t="shared" si="3"/>
        <v>96</v>
      </c>
      <c r="C102" s="35" cm="1">
        <f t="array" aca="1" ref="C102" ca="1">IF(ISNA(B102),"",dice(F$2,F$3))</f>
        <v>9</v>
      </c>
    </row>
    <row r="103" spans="2:3" x14ac:dyDescent="0.25">
      <c r="B103" s="29">
        <f t="shared" si="3"/>
        <v>97</v>
      </c>
      <c r="C103" s="35" cm="1">
        <f t="array" aca="1" ref="C103" ca="1">IF(ISNA(B103),"",dice(F$2,F$3))</f>
        <v>8</v>
      </c>
    </row>
    <row r="104" spans="2:3" x14ac:dyDescent="0.25">
      <c r="B104" s="29">
        <f t="shared" si="3"/>
        <v>98</v>
      </c>
      <c r="C104" s="35" cm="1">
        <f t="array" aca="1" ref="C104" ca="1">IF(ISNA(B104),"",dice(F$2,F$3))</f>
        <v>13</v>
      </c>
    </row>
    <row r="105" spans="2:3" x14ac:dyDescent="0.25">
      <c r="B105" s="29">
        <f t="shared" si="3"/>
        <v>99</v>
      </c>
      <c r="C105" s="35" cm="1">
        <f t="array" aca="1" ref="C105" ca="1">IF(ISNA(B105),"",dice(F$2,F$3))</f>
        <v>11</v>
      </c>
    </row>
    <row r="106" spans="2:3" x14ac:dyDescent="0.25">
      <c r="B106" s="29">
        <f t="shared" si="3"/>
        <v>100</v>
      </c>
      <c r="C106" s="35" cm="1">
        <f t="array" aca="1" ref="C106" ca="1">IF(ISNA(B106),"",dice(F$2,F$3))</f>
        <v>7</v>
      </c>
    </row>
    <row r="107" spans="2:3" x14ac:dyDescent="0.25">
      <c r="B107" s="29">
        <f t="shared" si="3"/>
        <v>101</v>
      </c>
      <c r="C107" s="35" cm="1">
        <f t="array" aca="1" ref="C107" ca="1">IF(ISNA(B107),"",dice(F$2,F$3))</f>
        <v>9</v>
      </c>
    </row>
    <row r="108" spans="2:3" x14ac:dyDescent="0.25">
      <c r="B108" s="29">
        <f t="shared" si="3"/>
        <v>102</v>
      </c>
      <c r="C108" s="35" cm="1">
        <f t="array" aca="1" ref="C108" ca="1">IF(ISNA(B108),"",dice(F$2,F$3))</f>
        <v>11</v>
      </c>
    </row>
    <row r="109" spans="2:3" x14ac:dyDescent="0.25">
      <c r="B109" s="29">
        <f t="shared" si="3"/>
        <v>103</v>
      </c>
      <c r="C109" s="35" cm="1">
        <f t="array" aca="1" ref="C109" ca="1">IF(ISNA(B109),"",dice(F$2,F$3))</f>
        <v>6</v>
      </c>
    </row>
    <row r="110" spans="2:3" x14ac:dyDescent="0.25">
      <c r="B110" s="29">
        <f t="shared" si="3"/>
        <v>104</v>
      </c>
      <c r="C110" s="35" cm="1">
        <f t="array" aca="1" ref="C110" ca="1">IF(ISNA(B110),"",dice(F$2,F$3))</f>
        <v>13</v>
      </c>
    </row>
    <row r="111" spans="2:3" x14ac:dyDescent="0.25">
      <c r="B111" s="29">
        <f t="shared" si="3"/>
        <v>105</v>
      </c>
      <c r="C111" s="35" cm="1">
        <f t="array" aca="1" ref="C111" ca="1">IF(ISNA(B111),"",dice(F$2,F$3))</f>
        <v>12</v>
      </c>
    </row>
    <row r="112" spans="2:3" x14ac:dyDescent="0.25">
      <c r="B112" s="29">
        <f t="shared" si="3"/>
        <v>106</v>
      </c>
      <c r="C112" s="35" cm="1">
        <f t="array" aca="1" ref="C112" ca="1">IF(ISNA(B112),"",dice(F$2,F$3))</f>
        <v>5</v>
      </c>
    </row>
    <row r="113" spans="2:3" x14ac:dyDescent="0.25">
      <c r="B113" s="29">
        <f t="shared" si="3"/>
        <v>107</v>
      </c>
      <c r="C113" s="35" cm="1">
        <f t="array" aca="1" ref="C113" ca="1">IF(ISNA(B113),"",dice(F$2,F$3))</f>
        <v>13</v>
      </c>
    </row>
    <row r="114" spans="2:3" x14ac:dyDescent="0.25">
      <c r="B114" s="29">
        <f t="shared" si="3"/>
        <v>108</v>
      </c>
      <c r="C114" s="35" cm="1">
        <f t="array" aca="1" ref="C114" ca="1">IF(ISNA(B114),"",dice(F$2,F$3))</f>
        <v>9</v>
      </c>
    </row>
    <row r="115" spans="2:3" x14ac:dyDescent="0.25">
      <c r="B115" s="29">
        <f t="shared" si="3"/>
        <v>109</v>
      </c>
      <c r="C115" s="35" cm="1">
        <f t="array" aca="1" ref="C115" ca="1">IF(ISNA(B115),"",dice(F$2,F$3))</f>
        <v>9</v>
      </c>
    </row>
    <row r="116" spans="2:3" x14ac:dyDescent="0.25">
      <c r="B116" s="29">
        <f t="shared" si="3"/>
        <v>110</v>
      </c>
      <c r="C116" s="35" cm="1">
        <f t="array" aca="1" ref="C116" ca="1">IF(ISNA(B116),"",dice(F$2,F$3))</f>
        <v>10</v>
      </c>
    </row>
    <row r="117" spans="2:3" x14ac:dyDescent="0.25">
      <c r="B117" s="29">
        <f t="shared" si="3"/>
        <v>111</v>
      </c>
      <c r="C117" s="35" cm="1">
        <f t="array" aca="1" ref="C117" ca="1">IF(ISNA(B117),"",dice(F$2,F$3))</f>
        <v>7</v>
      </c>
    </row>
    <row r="118" spans="2:3" x14ac:dyDescent="0.25">
      <c r="B118" s="29">
        <f t="shared" si="3"/>
        <v>112</v>
      </c>
      <c r="C118" s="35" cm="1">
        <f t="array" aca="1" ref="C118" ca="1">IF(ISNA(B118),"",dice(F$2,F$3))</f>
        <v>12</v>
      </c>
    </row>
    <row r="119" spans="2:3" x14ac:dyDescent="0.25">
      <c r="B119" s="29">
        <f t="shared" si="3"/>
        <v>113</v>
      </c>
      <c r="C119" s="35" cm="1">
        <f t="array" aca="1" ref="C119" ca="1">IF(ISNA(B119),"",dice(F$2,F$3))</f>
        <v>11</v>
      </c>
    </row>
    <row r="120" spans="2:3" x14ac:dyDescent="0.25">
      <c r="B120" s="29">
        <f t="shared" si="3"/>
        <v>114</v>
      </c>
      <c r="C120" s="35" cm="1">
        <f t="array" aca="1" ref="C120" ca="1">IF(ISNA(B120),"",dice(F$2,F$3))</f>
        <v>7</v>
      </c>
    </row>
    <row r="121" spans="2:3" x14ac:dyDescent="0.25">
      <c r="B121" s="29">
        <f t="shared" si="3"/>
        <v>115</v>
      </c>
      <c r="C121" s="35" cm="1">
        <f t="array" aca="1" ref="C121" ca="1">IF(ISNA(B121),"",dice(F$2,F$3))</f>
        <v>11</v>
      </c>
    </row>
    <row r="122" spans="2:3" x14ac:dyDescent="0.25">
      <c r="B122" s="29">
        <f t="shared" si="3"/>
        <v>116</v>
      </c>
      <c r="C122" s="35" cm="1">
        <f t="array" aca="1" ref="C122" ca="1">IF(ISNA(B122),"",dice(F$2,F$3))</f>
        <v>9</v>
      </c>
    </row>
    <row r="123" spans="2:3" x14ac:dyDescent="0.25">
      <c r="B123" s="29">
        <f t="shared" si="3"/>
        <v>117</v>
      </c>
      <c r="C123" s="35" cm="1">
        <f t="array" aca="1" ref="C123" ca="1">IF(ISNA(B123),"",dice(F$2,F$3))</f>
        <v>11</v>
      </c>
    </row>
    <row r="124" spans="2:3" x14ac:dyDescent="0.25">
      <c r="B124" s="29">
        <f t="shared" si="3"/>
        <v>118</v>
      </c>
      <c r="C124" s="35" cm="1">
        <f t="array" aca="1" ref="C124" ca="1">IF(ISNA(B124),"",dice(F$2,F$3))</f>
        <v>13</v>
      </c>
    </row>
    <row r="125" spans="2:3" x14ac:dyDescent="0.25">
      <c r="B125" s="29">
        <f t="shared" si="3"/>
        <v>119</v>
      </c>
      <c r="C125" s="35" cm="1">
        <f t="array" aca="1" ref="C125" ca="1">IF(ISNA(B125),"",dice(F$2,F$3))</f>
        <v>10</v>
      </c>
    </row>
    <row r="126" spans="2:3" x14ac:dyDescent="0.25">
      <c r="B126" s="29">
        <f t="shared" si="3"/>
        <v>120</v>
      </c>
      <c r="C126" s="35" cm="1">
        <f t="array" aca="1" ref="C126" ca="1">IF(ISNA(B126),"",dice(F$2,F$3))</f>
        <v>12</v>
      </c>
    </row>
    <row r="127" spans="2:3" x14ac:dyDescent="0.25">
      <c r="B127" s="29">
        <f t="shared" si="3"/>
        <v>121</v>
      </c>
      <c r="C127" s="35" cm="1">
        <f t="array" aca="1" ref="C127" ca="1">IF(ISNA(B127),"",dice(F$2,F$3))</f>
        <v>8</v>
      </c>
    </row>
    <row r="128" spans="2:3" x14ac:dyDescent="0.25">
      <c r="B128" s="29">
        <f t="shared" si="3"/>
        <v>122</v>
      </c>
      <c r="C128" s="35" cm="1">
        <f t="array" aca="1" ref="C128" ca="1">IF(ISNA(B128),"",dice(F$2,F$3))</f>
        <v>12</v>
      </c>
    </row>
    <row r="129" spans="2:3" x14ac:dyDescent="0.25">
      <c r="B129" s="29">
        <f t="shared" si="3"/>
        <v>123</v>
      </c>
      <c r="C129" s="35" cm="1">
        <f t="array" aca="1" ref="C129" ca="1">IF(ISNA(B129),"",dice(F$2,F$3))</f>
        <v>15</v>
      </c>
    </row>
    <row r="130" spans="2:3" x14ac:dyDescent="0.25">
      <c r="B130" s="29">
        <f t="shared" si="3"/>
        <v>124</v>
      </c>
      <c r="C130" s="35" cm="1">
        <f t="array" aca="1" ref="C130" ca="1">IF(ISNA(B130),"",dice(F$2,F$3))</f>
        <v>7</v>
      </c>
    </row>
    <row r="131" spans="2:3" x14ac:dyDescent="0.25">
      <c r="B131" s="29">
        <f t="shared" si="3"/>
        <v>125</v>
      </c>
      <c r="C131" s="35" cm="1">
        <f t="array" aca="1" ref="C131" ca="1">IF(ISNA(B131),"",dice(F$2,F$3))</f>
        <v>14</v>
      </c>
    </row>
    <row r="132" spans="2:3" x14ac:dyDescent="0.25">
      <c r="B132" s="29">
        <f t="shared" si="3"/>
        <v>126</v>
      </c>
      <c r="C132" s="35" cm="1">
        <f t="array" aca="1" ref="C132" ca="1">IF(ISNA(B132),"",dice(F$2,F$3))</f>
        <v>9</v>
      </c>
    </row>
    <row r="133" spans="2:3" x14ac:dyDescent="0.25">
      <c r="B133" s="29">
        <f t="shared" si="3"/>
        <v>127</v>
      </c>
      <c r="C133" s="35" cm="1">
        <f t="array" aca="1" ref="C133" ca="1">IF(ISNA(B133),"",dice(F$2,F$3))</f>
        <v>10</v>
      </c>
    </row>
    <row r="134" spans="2:3" x14ac:dyDescent="0.25">
      <c r="B134" s="29">
        <f t="shared" si="3"/>
        <v>128</v>
      </c>
      <c r="C134" s="35" cm="1">
        <f t="array" aca="1" ref="C134" ca="1">IF(ISNA(B134),"",dice(F$2,F$3))</f>
        <v>9</v>
      </c>
    </row>
    <row r="135" spans="2:3" x14ac:dyDescent="0.25">
      <c r="B135" s="29">
        <f t="shared" si="3"/>
        <v>129</v>
      </c>
      <c r="C135" s="35" cm="1">
        <f t="array" aca="1" ref="C135" ca="1">IF(ISNA(B135),"",dice(F$2,F$3))</f>
        <v>11</v>
      </c>
    </row>
    <row r="136" spans="2:3" x14ac:dyDescent="0.25">
      <c r="B136" s="29">
        <f t="shared" si="3"/>
        <v>130</v>
      </c>
      <c r="C136" s="35" cm="1">
        <f t="array" aca="1" ref="C136" ca="1">IF(ISNA(B136),"",dice(F$2,F$3))</f>
        <v>9</v>
      </c>
    </row>
    <row r="137" spans="2:3" x14ac:dyDescent="0.25">
      <c r="B137" s="29">
        <f t="shared" ref="B137:B200" si="4">IF(B136&lt;F$4,B136+1,NA())</f>
        <v>131</v>
      </c>
      <c r="C137" s="35" cm="1">
        <f t="array" aca="1" ref="C137" ca="1">IF(ISNA(B137),"",dice(F$2,F$3))</f>
        <v>8</v>
      </c>
    </row>
    <row r="138" spans="2:3" x14ac:dyDescent="0.25">
      <c r="B138" s="29">
        <f t="shared" si="4"/>
        <v>132</v>
      </c>
      <c r="C138" s="35" cm="1">
        <f t="array" aca="1" ref="C138" ca="1">IF(ISNA(B138),"",dice(F$2,F$3))</f>
        <v>16</v>
      </c>
    </row>
    <row r="139" spans="2:3" x14ac:dyDescent="0.25">
      <c r="B139" s="29">
        <f t="shared" si="4"/>
        <v>133</v>
      </c>
      <c r="C139" s="35" cm="1">
        <f t="array" aca="1" ref="C139" ca="1">IF(ISNA(B139),"",dice(F$2,F$3))</f>
        <v>6</v>
      </c>
    </row>
    <row r="140" spans="2:3" x14ac:dyDescent="0.25">
      <c r="B140" s="29">
        <f t="shared" si="4"/>
        <v>134</v>
      </c>
      <c r="C140" s="35" cm="1">
        <f t="array" aca="1" ref="C140" ca="1">IF(ISNA(B140),"",dice(F$2,F$3))</f>
        <v>13</v>
      </c>
    </row>
    <row r="141" spans="2:3" x14ac:dyDescent="0.25">
      <c r="B141" s="29">
        <f t="shared" si="4"/>
        <v>135</v>
      </c>
      <c r="C141" s="35" cm="1">
        <f t="array" aca="1" ref="C141" ca="1">IF(ISNA(B141),"",dice(F$2,F$3))</f>
        <v>8</v>
      </c>
    </row>
    <row r="142" spans="2:3" x14ac:dyDescent="0.25">
      <c r="B142" s="29">
        <f t="shared" si="4"/>
        <v>136</v>
      </c>
      <c r="C142" s="35" cm="1">
        <f t="array" aca="1" ref="C142" ca="1">IF(ISNA(B142),"",dice(F$2,F$3))</f>
        <v>16</v>
      </c>
    </row>
    <row r="143" spans="2:3" x14ac:dyDescent="0.25">
      <c r="B143" s="29">
        <f t="shared" si="4"/>
        <v>137</v>
      </c>
      <c r="C143" s="35" cm="1">
        <f t="array" aca="1" ref="C143" ca="1">IF(ISNA(B143),"",dice(F$2,F$3))</f>
        <v>11</v>
      </c>
    </row>
    <row r="144" spans="2:3" x14ac:dyDescent="0.25">
      <c r="B144" s="29">
        <f t="shared" si="4"/>
        <v>138</v>
      </c>
      <c r="C144" s="35" cm="1">
        <f t="array" aca="1" ref="C144" ca="1">IF(ISNA(B144),"",dice(F$2,F$3))</f>
        <v>15</v>
      </c>
    </row>
    <row r="145" spans="2:3" x14ac:dyDescent="0.25">
      <c r="B145" s="29">
        <f t="shared" si="4"/>
        <v>139</v>
      </c>
      <c r="C145" s="35" cm="1">
        <f t="array" aca="1" ref="C145" ca="1">IF(ISNA(B145),"",dice(F$2,F$3))</f>
        <v>16</v>
      </c>
    </row>
    <row r="146" spans="2:3" x14ac:dyDescent="0.25">
      <c r="B146" s="29">
        <f t="shared" si="4"/>
        <v>140</v>
      </c>
      <c r="C146" s="35" cm="1">
        <f t="array" aca="1" ref="C146" ca="1">IF(ISNA(B146),"",dice(F$2,F$3))</f>
        <v>7</v>
      </c>
    </row>
    <row r="147" spans="2:3" x14ac:dyDescent="0.25">
      <c r="B147" s="29">
        <f t="shared" si="4"/>
        <v>141</v>
      </c>
      <c r="C147" s="35" cm="1">
        <f t="array" aca="1" ref="C147" ca="1">IF(ISNA(B147),"",dice(F$2,F$3))</f>
        <v>7</v>
      </c>
    </row>
    <row r="148" spans="2:3" x14ac:dyDescent="0.25">
      <c r="B148" s="29">
        <f t="shared" si="4"/>
        <v>142</v>
      </c>
      <c r="C148" s="35" cm="1">
        <f t="array" aca="1" ref="C148" ca="1">IF(ISNA(B148),"",dice(F$2,F$3))</f>
        <v>15</v>
      </c>
    </row>
    <row r="149" spans="2:3" x14ac:dyDescent="0.25">
      <c r="B149" s="29">
        <f t="shared" si="4"/>
        <v>143</v>
      </c>
      <c r="C149" s="35" cm="1">
        <f t="array" aca="1" ref="C149" ca="1">IF(ISNA(B149),"",dice(F$2,F$3))</f>
        <v>14</v>
      </c>
    </row>
    <row r="150" spans="2:3" x14ac:dyDescent="0.25">
      <c r="B150" s="29">
        <f t="shared" si="4"/>
        <v>144</v>
      </c>
      <c r="C150" s="35" cm="1">
        <f t="array" aca="1" ref="C150" ca="1">IF(ISNA(B150),"",dice(F$2,F$3))</f>
        <v>7</v>
      </c>
    </row>
    <row r="151" spans="2:3" x14ac:dyDescent="0.25">
      <c r="B151" s="29">
        <f t="shared" si="4"/>
        <v>145</v>
      </c>
      <c r="C151" s="35" cm="1">
        <f t="array" aca="1" ref="C151" ca="1">IF(ISNA(B151),"",dice(F$2,F$3))</f>
        <v>11</v>
      </c>
    </row>
    <row r="152" spans="2:3" x14ac:dyDescent="0.25">
      <c r="B152" s="29">
        <f t="shared" si="4"/>
        <v>146</v>
      </c>
      <c r="C152" s="35" cm="1">
        <f t="array" aca="1" ref="C152" ca="1">IF(ISNA(B152),"",dice(F$2,F$3))</f>
        <v>13</v>
      </c>
    </row>
    <row r="153" spans="2:3" x14ac:dyDescent="0.25">
      <c r="B153" s="29">
        <f t="shared" si="4"/>
        <v>147</v>
      </c>
      <c r="C153" s="35" cm="1">
        <f t="array" aca="1" ref="C153" ca="1">IF(ISNA(B153),"",dice(F$2,F$3))</f>
        <v>6</v>
      </c>
    </row>
    <row r="154" spans="2:3" x14ac:dyDescent="0.25">
      <c r="B154" s="29">
        <f t="shared" si="4"/>
        <v>148</v>
      </c>
      <c r="C154" s="35" cm="1">
        <f t="array" aca="1" ref="C154" ca="1">IF(ISNA(B154),"",dice(F$2,F$3))</f>
        <v>10</v>
      </c>
    </row>
    <row r="155" spans="2:3" x14ac:dyDescent="0.25">
      <c r="B155" s="29">
        <f t="shared" si="4"/>
        <v>149</v>
      </c>
      <c r="C155" s="35" cm="1">
        <f t="array" aca="1" ref="C155" ca="1">IF(ISNA(B155),"",dice(F$2,F$3))</f>
        <v>11</v>
      </c>
    </row>
    <row r="156" spans="2:3" x14ac:dyDescent="0.25">
      <c r="B156" s="29">
        <f t="shared" si="4"/>
        <v>150</v>
      </c>
      <c r="C156" s="35" cm="1">
        <f t="array" aca="1" ref="C156" ca="1">IF(ISNA(B156),"",dice(F$2,F$3))</f>
        <v>7</v>
      </c>
    </row>
    <row r="157" spans="2:3" x14ac:dyDescent="0.25">
      <c r="B157" s="29">
        <f t="shared" si="4"/>
        <v>151</v>
      </c>
      <c r="C157" s="35" cm="1">
        <f t="array" aca="1" ref="C157" ca="1">IF(ISNA(B157),"",dice(F$2,F$3))</f>
        <v>11</v>
      </c>
    </row>
    <row r="158" spans="2:3" x14ac:dyDescent="0.25">
      <c r="B158" s="29">
        <f t="shared" si="4"/>
        <v>152</v>
      </c>
      <c r="C158" s="35" cm="1">
        <f t="array" aca="1" ref="C158" ca="1">IF(ISNA(B158),"",dice(F$2,F$3))</f>
        <v>12</v>
      </c>
    </row>
    <row r="159" spans="2:3" x14ac:dyDescent="0.25">
      <c r="B159" s="29">
        <f t="shared" si="4"/>
        <v>153</v>
      </c>
      <c r="C159" s="35" cm="1">
        <f t="array" aca="1" ref="C159" ca="1">IF(ISNA(B159),"",dice(F$2,F$3))</f>
        <v>11</v>
      </c>
    </row>
    <row r="160" spans="2:3" x14ac:dyDescent="0.25">
      <c r="B160" s="29">
        <f t="shared" si="4"/>
        <v>154</v>
      </c>
      <c r="C160" s="35" cm="1">
        <f t="array" aca="1" ref="C160" ca="1">IF(ISNA(B160),"",dice(F$2,F$3))</f>
        <v>11</v>
      </c>
    </row>
    <row r="161" spans="2:3" x14ac:dyDescent="0.25">
      <c r="B161" s="29">
        <f t="shared" si="4"/>
        <v>155</v>
      </c>
      <c r="C161" s="35" cm="1">
        <f t="array" aca="1" ref="C161" ca="1">IF(ISNA(B161),"",dice(F$2,F$3))</f>
        <v>8</v>
      </c>
    </row>
    <row r="162" spans="2:3" x14ac:dyDescent="0.25">
      <c r="B162" s="29">
        <f t="shared" si="4"/>
        <v>156</v>
      </c>
      <c r="C162" s="35" cm="1">
        <f t="array" aca="1" ref="C162" ca="1">IF(ISNA(B162),"",dice(F$2,F$3))</f>
        <v>10</v>
      </c>
    </row>
    <row r="163" spans="2:3" x14ac:dyDescent="0.25">
      <c r="B163" s="29">
        <f t="shared" si="4"/>
        <v>157</v>
      </c>
      <c r="C163" s="35" cm="1">
        <f t="array" aca="1" ref="C163" ca="1">IF(ISNA(B163),"",dice(F$2,F$3))</f>
        <v>13</v>
      </c>
    </row>
    <row r="164" spans="2:3" x14ac:dyDescent="0.25">
      <c r="B164" s="29">
        <f t="shared" si="4"/>
        <v>158</v>
      </c>
      <c r="C164" s="35" cm="1">
        <f t="array" aca="1" ref="C164" ca="1">IF(ISNA(B164),"",dice(F$2,F$3))</f>
        <v>9</v>
      </c>
    </row>
    <row r="165" spans="2:3" x14ac:dyDescent="0.25">
      <c r="B165" s="29">
        <f t="shared" si="4"/>
        <v>159</v>
      </c>
      <c r="C165" s="35" cm="1">
        <f t="array" aca="1" ref="C165" ca="1">IF(ISNA(B165),"",dice(F$2,F$3))</f>
        <v>14</v>
      </c>
    </row>
    <row r="166" spans="2:3" x14ac:dyDescent="0.25">
      <c r="B166" s="29">
        <f t="shared" si="4"/>
        <v>160</v>
      </c>
      <c r="C166" s="35" cm="1">
        <f t="array" aca="1" ref="C166" ca="1">IF(ISNA(B166),"",dice(F$2,F$3))</f>
        <v>13</v>
      </c>
    </row>
    <row r="167" spans="2:3" x14ac:dyDescent="0.25">
      <c r="B167" s="29">
        <f t="shared" si="4"/>
        <v>161</v>
      </c>
      <c r="C167" s="35" cm="1">
        <f t="array" aca="1" ref="C167" ca="1">IF(ISNA(B167),"",dice(F$2,F$3))</f>
        <v>11</v>
      </c>
    </row>
    <row r="168" spans="2:3" x14ac:dyDescent="0.25">
      <c r="B168" s="29">
        <f t="shared" si="4"/>
        <v>162</v>
      </c>
      <c r="C168" s="35" cm="1">
        <f t="array" aca="1" ref="C168" ca="1">IF(ISNA(B168),"",dice(F$2,F$3))</f>
        <v>6</v>
      </c>
    </row>
    <row r="169" spans="2:3" x14ac:dyDescent="0.25">
      <c r="B169" s="29">
        <f t="shared" si="4"/>
        <v>163</v>
      </c>
      <c r="C169" s="35" cm="1">
        <f t="array" aca="1" ref="C169" ca="1">IF(ISNA(B169),"",dice(F$2,F$3))</f>
        <v>9</v>
      </c>
    </row>
    <row r="170" spans="2:3" x14ac:dyDescent="0.25">
      <c r="B170" s="29">
        <f t="shared" si="4"/>
        <v>164</v>
      </c>
      <c r="C170" s="35" cm="1">
        <f t="array" aca="1" ref="C170" ca="1">IF(ISNA(B170),"",dice(F$2,F$3))</f>
        <v>13</v>
      </c>
    </row>
    <row r="171" spans="2:3" x14ac:dyDescent="0.25">
      <c r="B171" s="29">
        <f t="shared" si="4"/>
        <v>165</v>
      </c>
      <c r="C171" s="35" cm="1">
        <f t="array" aca="1" ref="C171" ca="1">IF(ISNA(B171),"",dice(F$2,F$3))</f>
        <v>10</v>
      </c>
    </row>
    <row r="172" spans="2:3" x14ac:dyDescent="0.25">
      <c r="B172" s="29">
        <f t="shared" si="4"/>
        <v>166</v>
      </c>
      <c r="C172" s="35" cm="1">
        <f t="array" aca="1" ref="C172" ca="1">IF(ISNA(B172),"",dice(F$2,F$3))</f>
        <v>8</v>
      </c>
    </row>
    <row r="173" spans="2:3" x14ac:dyDescent="0.25">
      <c r="B173" s="29">
        <f t="shared" si="4"/>
        <v>167</v>
      </c>
      <c r="C173" s="35" cm="1">
        <f t="array" aca="1" ref="C173" ca="1">IF(ISNA(B173),"",dice(F$2,F$3))</f>
        <v>9</v>
      </c>
    </row>
    <row r="174" spans="2:3" x14ac:dyDescent="0.25">
      <c r="B174" s="29">
        <f t="shared" si="4"/>
        <v>168</v>
      </c>
      <c r="C174" s="35" cm="1">
        <f t="array" aca="1" ref="C174" ca="1">IF(ISNA(B174),"",dice(F$2,F$3))</f>
        <v>6</v>
      </c>
    </row>
    <row r="175" spans="2:3" x14ac:dyDescent="0.25">
      <c r="B175" s="29">
        <f t="shared" si="4"/>
        <v>169</v>
      </c>
      <c r="C175" s="35" cm="1">
        <f t="array" aca="1" ref="C175" ca="1">IF(ISNA(B175),"",dice(F$2,F$3))</f>
        <v>9</v>
      </c>
    </row>
    <row r="176" spans="2:3" x14ac:dyDescent="0.25">
      <c r="B176" s="29">
        <f t="shared" si="4"/>
        <v>170</v>
      </c>
      <c r="C176" s="35" cm="1">
        <f t="array" aca="1" ref="C176" ca="1">IF(ISNA(B176),"",dice(F$2,F$3))</f>
        <v>10</v>
      </c>
    </row>
    <row r="177" spans="2:3" x14ac:dyDescent="0.25">
      <c r="B177" s="29">
        <f t="shared" si="4"/>
        <v>171</v>
      </c>
      <c r="C177" s="35" cm="1">
        <f t="array" aca="1" ref="C177" ca="1">IF(ISNA(B177),"",dice(F$2,F$3))</f>
        <v>9</v>
      </c>
    </row>
    <row r="178" spans="2:3" x14ac:dyDescent="0.25">
      <c r="B178" s="29">
        <f t="shared" si="4"/>
        <v>172</v>
      </c>
      <c r="C178" s="35" cm="1">
        <f t="array" aca="1" ref="C178" ca="1">IF(ISNA(B178),"",dice(F$2,F$3))</f>
        <v>9</v>
      </c>
    </row>
    <row r="179" spans="2:3" x14ac:dyDescent="0.25">
      <c r="B179" s="29">
        <f t="shared" si="4"/>
        <v>173</v>
      </c>
      <c r="C179" s="35" cm="1">
        <f t="array" aca="1" ref="C179" ca="1">IF(ISNA(B179),"",dice(F$2,F$3))</f>
        <v>9</v>
      </c>
    </row>
    <row r="180" spans="2:3" x14ac:dyDescent="0.25">
      <c r="B180" s="29">
        <f t="shared" si="4"/>
        <v>174</v>
      </c>
      <c r="C180" s="35" cm="1">
        <f t="array" aca="1" ref="C180" ca="1">IF(ISNA(B180),"",dice(F$2,F$3))</f>
        <v>7</v>
      </c>
    </row>
    <row r="181" spans="2:3" x14ac:dyDescent="0.25">
      <c r="B181" s="29">
        <f t="shared" si="4"/>
        <v>175</v>
      </c>
      <c r="C181" s="35" cm="1">
        <f t="array" aca="1" ref="C181" ca="1">IF(ISNA(B181),"",dice(F$2,F$3))</f>
        <v>11</v>
      </c>
    </row>
    <row r="182" spans="2:3" x14ac:dyDescent="0.25">
      <c r="B182" s="29">
        <f t="shared" si="4"/>
        <v>176</v>
      </c>
      <c r="C182" s="35" cm="1">
        <f t="array" aca="1" ref="C182" ca="1">IF(ISNA(B182),"",dice(F$2,F$3))</f>
        <v>12</v>
      </c>
    </row>
    <row r="183" spans="2:3" x14ac:dyDescent="0.25">
      <c r="B183" s="29">
        <f t="shared" si="4"/>
        <v>177</v>
      </c>
      <c r="C183" s="35" cm="1">
        <f t="array" aca="1" ref="C183" ca="1">IF(ISNA(B183),"",dice(F$2,F$3))</f>
        <v>12</v>
      </c>
    </row>
    <row r="184" spans="2:3" x14ac:dyDescent="0.25">
      <c r="B184" s="29">
        <f t="shared" si="4"/>
        <v>178</v>
      </c>
      <c r="C184" s="35" cm="1">
        <f t="array" aca="1" ref="C184" ca="1">IF(ISNA(B184),"",dice(F$2,F$3))</f>
        <v>10</v>
      </c>
    </row>
    <row r="185" spans="2:3" x14ac:dyDescent="0.25">
      <c r="B185" s="29">
        <f t="shared" si="4"/>
        <v>179</v>
      </c>
      <c r="C185" s="35" cm="1">
        <f t="array" aca="1" ref="C185" ca="1">IF(ISNA(B185),"",dice(F$2,F$3))</f>
        <v>10</v>
      </c>
    </row>
    <row r="186" spans="2:3" x14ac:dyDescent="0.25">
      <c r="B186" s="29">
        <f t="shared" si="4"/>
        <v>180</v>
      </c>
      <c r="C186" s="35" cm="1">
        <f t="array" aca="1" ref="C186" ca="1">IF(ISNA(B186),"",dice(F$2,F$3))</f>
        <v>8</v>
      </c>
    </row>
    <row r="187" spans="2:3" x14ac:dyDescent="0.25">
      <c r="B187" s="29">
        <f t="shared" si="4"/>
        <v>181</v>
      </c>
      <c r="C187" s="35" cm="1">
        <f t="array" aca="1" ref="C187" ca="1">IF(ISNA(B187),"",dice(F$2,F$3))</f>
        <v>10</v>
      </c>
    </row>
    <row r="188" spans="2:3" x14ac:dyDescent="0.25">
      <c r="B188" s="29">
        <f t="shared" si="4"/>
        <v>182</v>
      </c>
      <c r="C188" s="35" cm="1">
        <f t="array" aca="1" ref="C188" ca="1">IF(ISNA(B188),"",dice(F$2,F$3))</f>
        <v>9</v>
      </c>
    </row>
    <row r="189" spans="2:3" x14ac:dyDescent="0.25">
      <c r="B189" s="29">
        <f t="shared" si="4"/>
        <v>183</v>
      </c>
      <c r="C189" s="35" cm="1">
        <f t="array" aca="1" ref="C189" ca="1">IF(ISNA(B189),"",dice(F$2,F$3))</f>
        <v>14</v>
      </c>
    </row>
    <row r="190" spans="2:3" x14ac:dyDescent="0.25">
      <c r="B190" s="29">
        <f t="shared" si="4"/>
        <v>184</v>
      </c>
      <c r="C190" s="35" cm="1">
        <f t="array" aca="1" ref="C190" ca="1">IF(ISNA(B190),"",dice(F$2,F$3))</f>
        <v>6</v>
      </c>
    </row>
    <row r="191" spans="2:3" x14ac:dyDescent="0.25">
      <c r="B191" s="29">
        <f t="shared" si="4"/>
        <v>185</v>
      </c>
      <c r="C191" s="35" cm="1">
        <f t="array" aca="1" ref="C191" ca="1">IF(ISNA(B191),"",dice(F$2,F$3))</f>
        <v>14</v>
      </c>
    </row>
    <row r="192" spans="2:3" x14ac:dyDescent="0.25">
      <c r="B192" s="29">
        <f t="shared" si="4"/>
        <v>186</v>
      </c>
      <c r="C192" s="35" cm="1">
        <f t="array" aca="1" ref="C192" ca="1">IF(ISNA(B192),"",dice(F$2,F$3))</f>
        <v>12</v>
      </c>
    </row>
    <row r="193" spans="2:3" x14ac:dyDescent="0.25">
      <c r="B193" s="29">
        <f t="shared" si="4"/>
        <v>187</v>
      </c>
      <c r="C193" s="35" cm="1">
        <f t="array" aca="1" ref="C193" ca="1">IF(ISNA(B193),"",dice(F$2,F$3))</f>
        <v>9</v>
      </c>
    </row>
    <row r="194" spans="2:3" x14ac:dyDescent="0.25">
      <c r="B194" s="29">
        <f t="shared" si="4"/>
        <v>188</v>
      </c>
      <c r="C194" s="35" cm="1">
        <f t="array" aca="1" ref="C194" ca="1">IF(ISNA(B194),"",dice(F$2,F$3))</f>
        <v>14</v>
      </c>
    </row>
    <row r="195" spans="2:3" x14ac:dyDescent="0.25">
      <c r="B195" s="29">
        <f t="shared" si="4"/>
        <v>189</v>
      </c>
      <c r="C195" s="35" cm="1">
        <f t="array" aca="1" ref="C195" ca="1">IF(ISNA(B195),"",dice(F$2,F$3))</f>
        <v>12</v>
      </c>
    </row>
    <row r="196" spans="2:3" x14ac:dyDescent="0.25">
      <c r="B196" s="29">
        <f t="shared" si="4"/>
        <v>190</v>
      </c>
      <c r="C196" s="35" cm="1">
        <f t="array" aca="1" ref="C196" ca="1">IF(ISNA(B196),"",dice(F$2,F$3))</f>
        <v>14</v>
      </c>
    </row>
    <row r="197" spans="2:3" x14ac:dyDescent="0.25">
      <c r="B197" s="29">
        <f t="shared" si="4"/>
        <v>191</v>
      </c>
      <c r="C197" s="35" cm="1">
        <f t="array" aca="1" ref="C197" ca="1">IF(ISNA(B197),"",dice(F$2,F$3))</f>
        <v>8</v>
      </c>
    </row>
    <row r="198" spans="2:3" x14ac:dyDescent="0.25">
      <c r="B198" s="29">
        <f t="shared" si="4"/>
        <v>192</v>
      </c>
      <c r="C198" s="35" cm="1">
        <f t="array" aca="1" ref="C198" ca="1">IF(ISNA(B198),"",dice(F$2,F$3))</f>
        <v>9</v>
      </c>
    </row>
    <row r="199" spans="2:3" x14ac:dyDescent="0.25">
      <c r="B199" s="29">
        <f t="shared" si="4"/>
        <v>193</v>
      </c>
      <c r="C199" s="35" cm="1">
        <f t="array" aca="1" ref="C199" ca="1">IF(ISNA(B199),"",dice(F$2,F$3))</f>
        <v>8</v>
      </c>
    </row>
    <row r="200" spans="2:3" x14ac:dyDescent="0.25">
      <c r="B200" s="29">
        <f t="shared" si="4"/>
        <v>194</v>
      </c>
      <c r="C200" s="35" cm="1">
        <f t="array" aca="1" ref="C200" ca="1">IF(ISNA(B200),"",dice(F$2,F$3))</f>
        <v>7</v>
      </c>
    </row>
    <row r="201" spans="2:3" x14ac:dyDescent="0.25">
      <c r="B201" s="29">
        <f t="shared" ref="B201:B264" si="5">IF(B200&lt;F$4,B200+1,NA())</f>
        <v>195</v>
      </c>
      <c r="C201" s="35" cm="1">
        <f t="array" aca="1" ref="C201" ca="1">IF(ISNA(B201),"",dice(F$2,F$3))</f>
        <v>12</v>
      </c>
    </row>
    <row r="202" spans="2:3" x14ac:dyDescent="0.25">
      <c r="B202" s="29">
        <f t="shared" si="5"/>
        <v>196</v>
      </c>
      <c r="C202" s="35" cm="1">
        <f t="array" aca="1" ref="C202" ca="1">IF(ISNA(B202),"",dice(F$2,F$3))</f>
        <v>10</v>
      </c>
    </row>
    <row r="203" spans="2:3" x14ac:dyDescent="0.25">
      <c r="B203" s="29">
        <f t="shared" si="5"/>
        <v>197</v>
      </c>
      <c r="C203" s="35" cm="1">
        <f t="array" aca="1" ref="C203" ca="1">IF(ISNA(B203),"",dice(F$2,F$3))</f>
        <v>10</v>
      </c>
    </row>
    <row r="204" spans="2:3" x14ac:dyDescent="0.25">
      <c r="B204" s="29">
        <f t="shared" si="5"/>
        <v>198</v>
      </c>
      <c r="C204" s="35" cm="1">
        <f t="array" aca="1" ref="C204" ca="1">IF(ISNA(B204),"",dice(F$2,F$3))</f>
        <v>10</v>
      </c>
    </row>
    <row r="205" spans="2:3" x14ac:dyDescent="0.25">
      <c r="B205" s="29">
        <f t="shared" si="5"/>
        <v>199</v>
      </c>
      <c r="C205" s="35" cm="1">
        <f t="array" aca="1" ref="C205" ca="1">IF(ISNA(B205),"",dice(F$2,F$3))</f>
        <v>9</v>
      </c>
    </row>
    <row r="206" spans="2:3" x14ac:dyDescent="0.25">
      <c r="B206" s="29">
        <f t="shared" si="5"/>
        <v>200</v>
      </c>
      <c r="C206" s="35" cm="1">
        <f t="array" aca="1" ref="C206" ca="1">IF(ISNA(B206),"",dice(F$2,F$3))</f>
        <v>5</v>
      </c>
    </row>
    <row r="207" spans="2:3" x14ac:dyDescent="0.25">
      <c r="B207" s="29">
        <f t="shared" si="5"/>
        <v>201</v>
      </c>
      <c r="C207" s="35" cm="1">
        <f t="array" aca="1" ref="C207" ca="1">IF(ISNA(B207),"",dice(F$2,F$3))</f>
        <v>11</v>
      </c>
    </row>
    <row r="208" spans="2:3" x14ac:dyDescent="0.25">
      <c r="B208" s="29">
        <f t="shared" si="5"/>
        <v>202</v>
      </c>
      <c r="C208" s="35" cm="1">
        <f t="array" aca="1" ref="C208" ca="1">IF(ISNA(B208),"",dice(F$2,F$3))</f>
        <v>12</v>
      </c>
    </row>
    <row r="209" spans="2:3" x14ac:dyDescent="0.25">
      <c r="B209" s="29">
        <f t="shared" si="5"/>
        <v>203</v>
      </c>
      <c r="C209" s="35" cm="1">
        <f t="array" aca="1" ref="C209" ca="1">IF(ISNA(B209),"",dice(F$2,F$3))</f>
        <v>9</v>
      </c>
    </row>
    <row r="210" spans="2:3" x14ac:dyDescent="0.25">
      <c r="B210" s="29">
        <f t="shared" si="5"/>
        <v>204</v>
      </c>
      <c r="C210" s="35" cm="1">
        <f t="array" aca="1" ref="C210" ca="1">IF(ISNA(B210),"",dice(F$2,F$3))</f>
        <v>13</v>
      </c>
    </row>
    <row r="211" spans="2:3" x14ac:dyDescent="0.25">
      <c r="B211" s="29">
        <f t="shared" si="5"/>
        <v>205</v>
      </c>
      <c r="C211" s="35" cm="1">
        <f t="array" aca="1" ref="C211" ca="1">IF(ISNA(B211),"",dice(F$2,F$3))</f>
        <v>9</v>
      </c>
    </row>
    <row r="212" spans="2:3" x14ac:dyDescent="0.25">
      <c r="B212" s="29">
        <f t="shared" si="5"/>
        <v>206</v>
      </c>
      <c r="C212" s="35" cm="1">
        <f t="array" aca="1" ref="C212" ca="1">IF(ISNA(B212),"",dice(F$2,F$3))</f>
        <v>13</v>
      </c>
    </row>
    <row r="213" spans="2:3" x14ac:dyDescent="0.25">
      <c r="B213" s="29">
        <f t="shared" si="5"/>
        <v>207</v>
      </c>
      <c r="C213" s="35" cm="1">
        <f t="array" aca="1" ref="C213" ca="1">IF(ISNA(B213),"",dice(F$2,F$3))</f>
        <v>15</v>
      </c>
    </row>
    <row r="214" spans="2:3" x14ac:dyDescent="0.25">
      <c r="B214" s="29">
        <f t="shared" si="5"/>
        <v>208</v>
      </c>
      <c r="C214" s="35" cm="1">
        <f t="array" aca="1" ref="C214" ca="1">IF(ISNA(B214),"",dice(F$2,F$3))</f>
        <v>10</v>
      </c>
    </row>
    <row r="215" spans="2:3" x14ac:dyDescent="0.25">
      <c r="B215" s="29">
        <f t="shared" si="5"/>
        <v>209</v>
      </c>
      <c r="C215" s="35" cm="1">
        <f t="array" aca="1" ref="C215" ca="1">IF(ISNA(B215),"",dice(F$2,F$3))</f>
        <v>12</v>
      </c>
    </row>
    <row r="216" spans="2:3" x14ac:dyDescent="0.25">
      <c r="B216" s="29">
        <f t="shared" si="5"/>
        <v>210</v>
      </c>
      <c r="C216" s="35" cm="1">
        <f t="array" aca="1" ref="C216" ca="1">IF(ISNA(B216),"",dice(F$2,F$3))</f>
        <v>4</v>
      </c>
    </row>
    <row r="217" spans="2:3" x14ac:dyDescent="0.25">
      <c r="B217" s="29">
        <f t="shared" si="5"/>
        <v>211</v>
      </c>
      <c r="C217" s="35" cm="1">
        <f t="array" aca="1" ref="C217" ca="1">IF(ISNA(B217),"",dice(F$2,F$3))</f>
        <v>15</v>
      </c>
    </row>
    <row r="218" spans="2:3" x14ac:dyDescent="0.25">
      <c r="B218" s="29">
        <f t="shared" si="5"/>
        <v>212</v>
      </c>
      <c r="C218" s="35" cm="1">
        <f t="array" aca="1" ref="C218" ca="1">IF(ISNA(B218),"",dice(F$2,F$3))</f>
        <v>14</v>
      </c>
    </row>
    <row r="219" spans="2:3" x14ac:dyDescent="0.25">
      <c r="B219" s="29">
        <f t="shared" si="5"/>
        <v>213</v>
      </c>
      <c r="C219" s="35" cm="1">
        <f t="array" aca="1" ref="C219" ca="1">IF(ISNA(B219),"",dice(F$2,F$3))</f>
        <v>7</v>
      </c>
    </row>
    <row r="220" spans="2:3" x14ac:dyDescent="0.25">
      <c r="B220" s="29">
        <f t="shared" si="5"/>
        <v>214</v>
      </c>
      <c r="C220" s="35" cm="1">
        <f t="array" aca="1" ref="C220" ca="1">IF(ISNA(B220),"",dice(F$2,F$3))</f>
        <v>13</v>
      </c>
    </row>
    <row r="221" spans="2:3" x14ac:dyDescent="0.25">
      <c r="B221" s="29">
        <f t="shared" si="5"/>
        <v>215</v>
      </c>
      <c r="C221" s="35" cm="1">
        <f t="array" aca="1" ref="C221" ca="1">IF(ISNA(B221),"",dice(F$2,F$3))</f>
        <v>9</v>
      </c>
    </row>
    <row r="222" spans="2:3" x14ac:dyDescent="0.25">
      <c r="B222" s="29">
        <f t="shared" si="5"/>
        <v>216</v>
      </c>
      <c r="C222" s="35" cm="1">
        <f t="array" aca="1" ref="C222" ca="1">IF(ISNA(B222),"",dice(F$2,F$3))</f>
        <v>7</v>
      </c>
    </row>
    <row r="223" spans="2:3" x14ac:dyDescent="0.25">
      <c r="B223" s="29">
        <f t="shared" si="5"/>
        <v>217</v>
      </c>
      <c r="C223" s="35" cm="1">
        <f t="array" aca="1" ref="C223" ca="1">IF(ISNA(B223),"",dice(F$2,F$3))</f>
        <v>12</v>
      </c>
    </row>
    <row r="224" spans="2:3" x14ac:dyDescent="0.25">
      <c r="B224" s="29">
        <f t="shared" si="5"/>
        <v>218</v>
      </c>
      <c r="C224" s="35" cm="1">
        <f t="array" aca="1" ref="C224" ca="1">IF(ISNA(B224),"",dice(F$2,F$3))</f>
        <v>5</v>
      </c>
    </row>
    <row r="225" spans="2:3" x14ac:dyDescent="0.25">
      <c r="B225" s="29">
        <f t="shared" si="5"/>
        <v>219</v>
      </c>
      <c r="C225" s="35" cm="1">
        <f t="array" aca="1" ref="C225" ca="1">IF(ISNA(B225),"",dice(F$2,F$3))</f>
        <v>6</v>
      </c>
    </row>
    <row r="226" spans="2:3" x14ac:dyDescent="0.25">
      <c r="B226" s="29">
        <f t="shared" si="5"/>
        <v>220</v>
      </c>
      <c r="C226" s="35" cm="1">
        <f t="array" aca="1" ref="C226" ca="1">IF(ISNA(B226),"",dice(F$2,F$3))</f>
        <v>9</v>
      </c>
    </row>
    <row r="227" spans="2:3" x14ac:dyDescent="0.25">
      <c r="B227" s="29">
        <f t="shared" si="5"/>
        <v>221</v>
      </c>
      <c r="C227" s="35" cm="1">
        <f t="array" aca="1" ref="C227" ca="1">IF(ISNA(B227),"",dice(F$2,F$3))</f>
        <v>10</v>
      </c>
    </row>
    <row r="228" spans="2:3" x14ac:dyDescent="0.25">
      <c r="B228" s="29">
        <f t="shared" si="5"/>
        <v>222</v>
      </c>
      <c r="C228" s="35" cm="1">
        <f t="array" aca="1" ref="C228" ca="1">IF(ISNA(B228),"",dice(F$2,F$3))</f>
        <v>15</v>
      </c>
    </row>
    <row r="229" spans="2:3" x14ac:dyDescent="0.25">
      <c r="B229" s="29">
        <f t="shared" si="5"/>
        <v>223</v>
      </c>
      <c r="C229" s="35" cm="1">
        <f t="array" aca="1" ref="C229" ca="1">IF(ISNA(B229),"",dice(F$2,F$3))</f>
        <v>7</v>
      </c>
    </row>
    <row r="230" spans="2:3" x14ac:dyDescent="0.25">
      <c r="B230" s="29">
        <f t="shared" si="5"/>
        <v>224</v>
      </c>
      <c r="C230" s="35" cm="1">
        <f t="array" aca="1" ref="C230" ca="1">IF(ISNA(B230),"",dice(F$2,F$3))</f>
        <v>12</v>
      </c>
    </row>
    <row r="231" spans="2:3" x14ac:dyDescent="0.25">
      <c r="B231" s="29">
        <f t="shared" si="5"/>
        <v>225</v>
      </c>
      <c r="C231" s="35" cm="1">
        <f t="array" aca="1" ref="C231" ca="1">IF(ISNA(B231),"",dice(F$2,F$3))</f>
        <v>8</v>
      </c>
    </row>
    <row r="232" spans="2:3" x14ac:dyDescent="0.25">
      <c r="B232" s="29">
        <f t="shared" si="5"/>
        <v>226</v>
      </c>
      <c r="C232" s="35" cm="1">
        <f t="array" aca="1" ref="C232" ca="1">IF(ISNA(B232),"",dice(F$2,F$3))</f>
        <v>12</v>
      </c>
    </row>
    <row r="233" spans="2:3" x14ac:dyDescent="0.25">
      <c r="B233" s="29">
        <f t="shared" si="5"/>
        <v>227</v>
      </c>
      <c r="C233" s="35" cm="1">
        <f t="array" aca="1" ref="C233" ca="1">IF(ISNA(B233),"",dice(F$2,F$3))</f>
        <v>12</v>
      </c>
    </row>
    <row r="234" spans="2:3" x14ac:dyDescent="0.25">
      <c r="B234" s="29">
        <f t="shared" si="5"/>
        <v>228</v>
      </c>
      <c r="C234" s="35" cm="1">
        <f t="array" aca="1" ref="C234" ca="1">IF(ISNA(B234),"",dice(F$2,F$3))</f>
        <v>17</v>
      </c>
    </row>
    <row r="235" spans="2:3" x14ac:dyDescent="0.25">
      <c r="B235" s="29">
        <f t="shared" si="5"/>
        <v>229</v>
      </c>
      <c r="C235" s="35" cm="1">
        <f t="array" aca="1" ref="C235" ca="1">IF(ISNA(B235),"",dice(F$2,F$3))</f>
        <v>8</v>
      </c>
    </row>
    <row r="236" spans="2:3" x14ac:dyDescent="0.25">
      <c r="B236" s="29">
        <f t="shared" si="5"/>
        <v>230</v>
      </c>
      <c r="C236" s="35" cm="1">
        <f t="array" aca="1" ref="C236" ca="1">IF(ISNA(B236),"",dice(F$2,F$3))</f>
        <v>7</v>
      </c>
    </row>
    <row r="237" spans="2:3" x14ac:dyDescent="0.25">
      <c r="B237" s="29">
        <f t="shared" si="5"/>
        <v>231</v>
      </c>
      <c r="C237" s="35" cm="1">
        <f t="array" aca="1" ref="C237" ca="1">IF(ISNA(B237),"",dice(F$2,F$3))</f>
        <v>16</v>
      </c>
    </row>
    <row r="238" spans="2:3" x14ac:dyDescent="0.25">
      <c r="B238" s="29">
        <f t="shared" si="5"/>
        <v>232</v>
      </c>
      <c r="C238" s="35" cm="1">
        <f t="array" aca="1" ref="C238" ca="1">IF(ISNA(B238),"",dice(F$2,F$3))</f>
        <v>9</v>
      </c>
    </row>
    <row r="239" spans="2:3" x14ac:dyDescent="0.25">
      <c r="B239" s="29">
        <f t="shared" si="5"/>
        <v>233</v>
      </c>
      <c r="C239" s="35" cm="1">
        <f t="array" aca="1" ref="C239" ca="1">IF(ISNA(B239),"",dice(F$2,F$3))</f>
        <v>13</v>
      </c>
    </row>
    <row r="240" spans="2:3" x14ac:dyDescent="0.25">
      <c r="B240" s="29">
        <f t="shared" si="5"/>
        <v>234</v>
      </c>
      <c r="C240" s="35" cm="1">
        <f t="array" aca="1" ref="C240" ca="1">IF(ISNA(B240),"",dice(F$2,F$3))</f>
        <v>8</v>
      </c>
    </row>
    <row r="241" spans="2:3" x14ac:dyDescent="0.25">
      <c r="B241" s="29">
        <f t="shared" si="5"/>
        <v>235</v>
      </c>
      <c r="C241" s="35" cm="1">
        <f t="array" aca="1" ref="C241" ca="1">IF(ISNA(B241),"",dice(F$2,F$3))</f>
        <v>16</v>
      </c>
    </row>
    <row r="242" spans="2:3" x14ac:dyDescent="0.25">
      <c r="B242" s="29">
        <f t="shared" si="5"/>
        <v>236</v>
      </c>
      <c r="C242" s="35" cm="1">
        <f t="array" aca="1" ref="C242" ca="1">IF(ISNA(B242),"",dice(F$2,F$3))</f>
        <v>15</v>
      </c>
    </row>
    <row r="243" spans="2:3" x14ac:dyDescent="0.25">
      <c r="B243" s="29">
        <f t="shared" si="5"/>
        <v>237</v>
      </c>
      <c r="C243" s="35" cm="1">
        <f t="array" aca="1" ref="C243" ca="1">IF(ISNA(B243),"",dice(F$2,F$3))</f>
        <v>17</v>
      </c>
    </row>
    <row r="244" spans="2:3" x14ac:dyDescent="0.25">
      <c r="B244" s="29">
        <f t="shared" si="5"/>
        <v>238</v>
      </c>
      <c r="C244" s="35" cm="1">
        <f t="array" aca="1" ref="C244" ca="1">IF(ISNA(B244),"",dice(F$2,F$3))</f>
        <v>8</v>
      </c>
    </row>
    <row r="245" spans="2:3" x14ac:dyDescent="0.25">
      <c r="B245" s="29">
        <f t="shared" si="5"/>
        <v>239</v>
      </c>
      <c r="C245" s="35" cm="1">
        <f t="array" aca="1" ref="C245" ca="1">IF(ISNA(B245),"",dice(F$2,F$3))</f>
        <v>10</v>
      </c>
    </row>
    <row r="246" spans="2:3" x14ac:dyDescent="0.25">
      <c r="B246" s="29">
        <f t="shared" si="5"/>
        <v>240</v>
      </c>
      <c r="C246" s="35" cm="1">
        <f t="array" aca="1" ref="C246" ca="1">IF(ISNA(B246),"",dice(F$2,F$3))</f>
        <v>9</v>
      </c>
    </row>
    <row r="247" spans="2:3" x14ac:dyDescent="0.25">
      <c r="B247" s="29">
        <f t="shared" si="5"/>
        <v>241</v>
      </c>
      <c r="C247" s="35" cm="1">
        <f t="array" aca="1" ref="C247" ca="1">IF(ISNA(B247),"",dice(F$2,F$3))</f>
        <v>11</v>
      </c>
    </row>
    <row r="248" spans="2:3" x14ac:dyDescent="0.25">
      <c r="B248" s="29">
        <f t="shared" si="5"/>
        <v>242</v>
      </c>
      <c r="C248" s="35" cm="1">
        <f t="array" aca="1" ref="C248" ca="1">IF(ISNA(B248),"",dice(F$2,F$3))</f>
        <v>7</v>
      </c>
    </row>
    <row r="249" spans="2:3" x14ac:dyDescent="0.25">
      <c r="B249" s="29">
        <f t="shared" si="5"/>
        <v>243</v>
      </c>
      <c r="C249" s="35" cm="1">
        <f t="array" aca="1" ref="C249" ca="1">IF(ISNA(B249),"",dice(F$2,F$3))</f>
        <v>12</v>
      </c>
    </row>
    <row r="250" spans="2:3" x14ac:dyDescent="0.25">
      <c r="B250" s="29">
        <f t="shared" si="5"/>
        <v>244</v>
      </c>
      <c r="C250" s="35" cm="1">
        <f t="array" aca="1" ref="C250" ca="1">IF(ISNA(B250),"",dice(F$2,F$3))</f>
        <v>7</v>
      </c>
    </row>
    <row r="251" spans="2:3" x14ac:dyDescent="0.25">
      <c r="B251" s="29">
        <f t="shared" si="5"/>
        <v>245</v>
      </c>
      <c r="C251" s="35" cm="1">
        <f t="array" aca="1" ref="C251" ca="1">IF(ISNA(B251),"",dice(F$2,F$3))</f>
        <v>11</v>
      </c>
    </row>
    <row r="252" spans="2:3" x14ac:dyDescent="0.25">
      <c r="B252" s="29">
        <f t="shared" si="5"/>
        <v>246</v>
      </c>
      <c r="C252" s="35" cm="1">
        <f t="array" aca="1" ref="C252" ca="1">IF(ISNA(B252),"",dice(F$2,F$3))</f>
        <v>8</v>
      </c>
    </row>
    <row r="253" spans="2:3" x14ac:dyDescent="0.25">
      <c r="B253" s="29">
        <f t="shared" si="5"/>
        <v>247</v>
      </c>
      <c r="C253" s="35" cm="1">
        <f t="array" aca="1" ref="C253" ca="1">IF(ISNA(B253),"",dice(F$2,F$3))</f>
        <v>12</v>
      </c>
    </row>
    <row r="254" spans="2:3" x14ac:dyDescent="0.25">
      <c r="B254" s="29">
        <f t="shared" si="5"/>
        <v>248</v>
      </c>
      <c r="C254" s="35" cm="1">
        <f t="array" aca="1" ref="C254" ca="1">IF(ISNA(B254),"",dice(F$2,F$3))</f>
        <v>11</v>
      </c>
    </row>
    <row r="255" spans="2:3" x14ac:dyDescent="0.25">
      <c r="B255" s="29">
        <f t="shared" si="5"/>
        <v>249</v>
      </c>
      <c r="C255" s="35" cm="1">
        <f t="array" aca="1" ref="C255" ca="1">IF(ISNA(B255),"",dice(F$2,F$3))</f>
        <v>12</v>
      </c>
    </row>
    <row r="256" spans="2:3" x14ac:dyDescent="0.25">
      <c r="B256" s="29">
        <f t="shared" si="5"/>
        <v>250</v>
      </c>
      <c r="C256" s="35" cm="1">
        <f t="array" aca="1" ref="C256" ca="1">IF(ISNA(B256),"",dice(F$2,F$3))</f>
        <v>8</v>
      </c>
    </row>
    <row r="257" spans="2:3" x14ac:dyDescent="0.25">
      <c r="B257" s="29">
        <f t="shared" si="5"/>
        <v>251</v>
      </c>
      <c r="C257" s="35" cm="1">
        <f t="array" aca="1" ref="C257" ca="1">IF(ISNA(B257),"",dice(F$2,F$3))</f>
        <v>11</v>
      </c>
    </row>
    <row r="258" spans="2:3" x14ac:dyDescent="0.25">
      <c r="B258" s="29">
        <f t="shared" si="5"/>
        <v>252</v>
      </c>
      <c r="C258" s="35" cm="1">
        <f t="array" aca="1" ref="C258" ca="1">IF(ISNA(B258),"",dice(F$2,F$3))</f>
        <v>15</v>
      </c>
    </row>
    <row r="259" spans="2:3" x14ac:dyDescent="0.25">
      <c r="B259" s="29">
        <f t="shared" si="5"/>
        <v>253</v>
      </c>
      <c r="C259" s="35" cm="1">
        <f t="array" aca="1" ref="C259" ca="1">IF(ISNA(B259),"",dice(F$2,F$3))</f>
        <v>11</v>
      </c>
    </row>
    <row r="260" spans="2:3" x14ac:dyDescent="0.25">
      <c r="B260" s="29">
        <f t="shared" si="5"/>
        <v>254</v>
      </c>
      <c r="C260" s="35" cm="1">
        <f t="array" aca="1" ref="C260" ca="1">IF(ISNA(B260),"",dice(F$2,F$3))</f>
        <v>12</v>
      </c>
    </row>
    <row r="261" spans="2:3" x14ac:dyDescent="0.25">
      <c r="B261" s="29">
        <f t="shared" si="5"/>
        <v>255</v>
      </c>
      <c r="C261" s="35" cm="1">
        <f t="array" aca="1" ref="C261" ca="1">IF(ISNA(B261),"",dice(F$2,F$3))</f>
        <v>14</v>
      </c>
    </row>
    <row r="262" spans="2:3" x14ac:dyDescent="0.25">
      <c r="B262" s="29">
        <f t="shared" si="5"/>
        <v>256</v>
      </c>
      <c r="C262" s="35" cm="1">
        <f t="array" aca="1" ref="C262" ca="1">IF(ISNA(B262),"",dice(F$2,F$3))</f>
        <v>15</v>
      </c>
    </row>
    <row r="263" spans="2:3" x14ac:dyDescent="0.25">
      <c r="B263" s="29">
        <f t="shared" si="5"/>
        <v>257</v>
      </c>
      <c r="C263" s="35" cm="1">
        <f t="array" aca="1" ref="C263" ca="1">IF(ISNA(B263),"",dice(F$2,F$3))</f>
        <v>10</v>
      </c>
    </row>
    <row r="264" spans="2:3" x14ac:dyDescent="0.25">
      <c r="B264" s="29">
        <f t="shared" si="5"/>
        <v>258</v>
      </c>
      <c r="C264" s="35" cm="1">
        <f t="array" aca="1" ref="C264" ca="1">IF(ISNA(B264),"",dice(F$2,F$3))</f>
        <v>14</v>
      </c>
    </row>
    <row r="265" spans="2:3" x14ac:dyDescent="0.25">
      <c r="B265" s="29">
        <f t="shared" ref="B265:B328" si="6">IF(B264&lt;F$4,B264+1,NA())</f>
        <v>259</v>
      </c>
      <c r="C265" s="35" cm="1">
        <f t="array" aca="1" ref="C265" ca="1">IF(ISNA(B265),"",dice(F$2,F$3))</f>
        <v>11</v>
      </c>
    </row>
    <row r="266" spans="2:3" x14ac:dyDescent="0.25">
      <c r="B266" s="29">
        <f t="shared" si="6"/>
        <v>260</v>
      </c>
      <c r="C266" s="35" cm="1">
        <f t="array" aca="1" ref="C266" ca="1">IF(ISNA(B266),"",dice(F$2,F$3))</f>
        <v>10</v>
      </c>
    </row>
    <row r="267" spans="2:3" x14ac:dyDescent="0.25">
      <c r="B267" s="29">
        <f t="shared" si="6"/>
        <v>261</v>
      </c>
      <c r="C267" s="35" cm="1">
        <f t="array" aca="1" ref="C267" ca="1">IF(ISNA(B267),"",dice(F$2,F$3))</f>
        <v>6</v>
      </c>
    </row>
    <row r="268" spans="2:3" x14ac:dyDescent="0.25">
      <c r="B268" s="29">
        <f t="shared" si="6"/>
        <v>262</v>
      </c>
      <c r="C268" s="35" cm="1">
        <f t="array" aca="1" ref="C268" ca="1">IF(ISNA(B268),"",dice(F$2,F$3))</f>
        <v>16</v>
      </c>
    </row>
    <row r="269" spans="2:3" x14ac:dyDescent="0.25">
      <c r="B269" s="29">
        <f t="shared" si="6"/>
        <v>263</v>
      </c>
      <c r="C269" s="35" cm="1">
        <f t="array" aca="1" ref="C269" ca="1">IF(ISNA(B269),"",dice(F$2,F$3))</f>
        <v>13</v>
      </c>
    </row>
    <row r="270" spans="2:3" x14ac:dyDescent="0.25">
      <c r="B270" s="29">
        <f t="shared" si="6"/>
        <v>264</v>
      </c>
      <c r="C270" s="35" cm="1">
        <f t="array" aca="1" ref="C270" ca="1">IF(ISNA(B270),"",dice(F$2,F$3))</f>
        <v>9</v>
      </c>
    </row>
    <row r="271" spans="2:3" x14ac:dyDescent="0.25">
      <c r="B271" s="29">
        <f t="shared" si="6"/>
        <v>265</v>
      </c>
      <c r="C271" s="35" cm="1">
        <f t="array" aca="1" ref="C271" ca="1">IF(ISNA(B271),"",dice(F$2,F$3))</f>
        <v>10</v>
      </c>
    </row>
    <row r="272" spans="2:3" x14ac:dyDescent="0.25">
      <c r="B272" s="29">
        <f t="shared" si="6"/>
        <v>266</v>
      </c>
      <c r="C272" s="35" cm="1">
        <f t="array" aca="1" ref="C272" ca="1">IF(ISNA(B272),"",dice(F$2,F$3))</f>
        <v>7</v>
      </c>
    </row>
    <row r="273" spans="2:3" x14ac:dyDescent="0.25">
      <c r="B273" s="29">
        <f t="shared" si="6"/>
        <v>267</v>
      </c>
      <c r="C273" s="35" cm="1">
        <f t="array" aca="1" ref="C273" ca="1">IF(ISNA(B273),"",dice(F$2,F$3))</f>
        <v>15</v>
      </c>
    </row>
    <row r="274" spans="2:3" x14ac:dyDescent="0.25">
      <c r="B274" s="29">
        <f t="shared" si="6"/>
        <v>268</v>
      </c>
      <c r="C274" s="35" cm="1">
        <f t="array" aca="1" ref="C274" ca="1">IF(ISNA(B274),"",dice(F$2,F$3))</f>
        <v>12</v>
      </c>
    </row>
    <row r="275" spans="2:3" x14ac:dyDescent="0.25">
      <c r="B275" s="29">
        <f t="shared" si="6"/>
        <v>269</v>
      </c>
      <c r="C275" s="35" cm="1">
        <f t="array" aca="1" ref="C275" ca="1">IF(ISNA(B275),"",dice(F$2,F$3))</f>
        <v>12</v>
      </c>
    </row>
    <row r="276" spans="2:3" x14ac:dyDescent="0.25">
      <c r="B276" s="29">
        <f t="shared" si="6"/>
        <v>270</v>
      </c>
      <c r="C276" s="35" cm="1">
        <f t="array" aca="1" ref="C276" ca="1">IF(ISNA(B276),"",dice(F$2,F$3))</f>
        <v>14</v>
      </c>
    </row>
    <row r="277" spans="2:3" x14ac:dyDescent="0.25">
      <c r="B277" s="29">
        <f t="shared" si="6"/>
        <v>271</v>
      </c>
      <c r="C277" s="35" cm="1">
        <f t="array" aca="1" ref="C277" ca="1">IF(ISNA(B277),"",dice(F$2,F$3))</f>
        <v>6</v>
      </c>
    </row>
    <row r="278" spans="2:3" x14ac:dyDescent="0.25">
      <c r="B278" s="29">
        <f t="shared" si="6"/>
        <v>272</v>
      </c>
      <c r="C278" s="35" cm="1">
        <f t="array" aca="1" ref="C278" ca="1">IF(ISNA(B278),"",dice(F$2,F$3))</f>
        <v>10</v>
      </c>
    </row>
    <row r="279" spans="2:3" x14ac:dyDescent="0.25">
      <c r="B279" s="29">
        <f t="shared" si="6"/>
        <v>273</v>
      </c>
      <c r="C279" s="35" cm="1">
        <f t="array" aca="1" ref="C279" ca="1">IF(ISNA(B279),"",dice(F$2,F$3))</f>
        <v>10</v>
      </c>
    </row>
    <row r="280" spans="2:3" x14ac:dyDescent="0.25">
      <c r="B280" s="29">
        <f t="shared" si="6"/>
        <v>274</v>
      </c>
      <c r="C280" s="35" cm="1">
        <f t="array" aca="1" ref="C280" ca="1">IF(ISNA(B280),"",dice(F$2,F$3))</f>
        <v>11</v>
      </c>
    </row>
    <row r="281" spans="2:3" x14ac:dyDescent="0.25">
      <c r="B281" s="29">
        <f t="shared" si="6"/>
        <v>275</v>
      </c>
      <c r="C281" s="35" cm="1">
        <f t="array" aca="1" ref="C281" ca="1">IF(ISNA(B281),"",dice(F$2,F$3))</f>
        <v>11</v>
      </c>
    </row>
    <row r="282" spans="2:3" x14ac:dyDescent="0.25">
      <c r="B282" s="29">
        <f t="shared" si="6"/>
        <v>276</v>
      </c>
      <c r="C282" s="35" cm="1">
        <f t="array" aca="1" ref="C282" ca="1">IF(ISNA(B282),"",dice(F$2,F$3))</f>
        <v>7</v>
      </c>
    </row>
    <row r="283" spans="2:3" x14ac:dyDescent="0.25">
      <c r="B283" s="29">
        <f t="shared" si="6"/>
        <v>277</v>
      </c>
      <c r="C283" s="35" cm="1">
        <f t="array" aca="1" ref="C283" ca="1">IF(ISNA(B283),"",dice(F$2,F$3))</f>
        <v>12</v>
      </c>
    </row>
    <row r="284" spans="2:3" x14ac:dyDescent="0.25">
      <c r="B284" s="29">
        <f t="shared" si="6"/>
        <v>278</v>
      </c>
      <c r="C284" s="35" cm="1">
        <f t="array" aca="1" ref="C284" ca="1">IF(ISNA(B284),"",dice(F$2,F$3))</f>
        <v>14</v>
      </c>
    </row>
    <row r="285" spans="2:3" x14ac:dyDescent="0.25">
      <c r="B285" s="29">
        <f t="shared" si="6"/>
        <v>279</v>
      </c>
      <c r="C285" s="35" cm="1">
        <f t="array" aca="1" ref="C285" ca="1">IF(ISNA(B285),"",dice(F$2,F$3))</f>
        <v>11</v>
      </c>
    </row>
    <row r="286" spans="2:3" x14ac:dyDescent="0.25">
      <c r="B286" s="29">
        <f t="shared" si="6"/>
        <v>280</v>
      </c>
      <c r="C286" s="35" cm="1">
        <f t="array" aca="1" ref="C286" ca="1">IF(ISNA(B286),"",dice(F$2,F$3))</f>
        <v>13</v>
      </c>
    </row>
    <row r="287" spans="2:3" x14ac:dyDescent="0.25">
      <c r="B287" s="29">
        <f t="shared" si="6"/>
        <v>281</v>
      </c>
      <c r="C287" s="35" cm="1">
        <f t="array" aca="1" ref="C287" ca="1">IF(ISNA(B287),"",dice(F$2,F$3))</f>
        <v>12</v>
      </c>
    </row>
    <row r="288" spans="2:3" x14ac:dyDescent="0.25">
      <c r="B288" s="29">
        <f t="shared" si="6"/>
        <v>282</v>
      </c>
      <c r="C288" s="35" cm="1">
        <f t="array" aca="1" ref="C288" ca="1">IF(ISNA(B288),"",dice(F$2,F$3))</f>
        <v>9</v>
      </c>
    </row>
    <row r="289" spans="2:3" x14ac:dyDescent="0.25">
      <c r="B289" s="29">
        <f t="shared" si="6"/>
        <v>283</v>
      </c>
      <c r="C289" s="35" cm="1">
        <f t="array" aca="1" ref="C289" ca="1">IF(ISNA(B289),"",dice(F$2,F$3))</f>
        <v>10</v>
      </c>
    </row>
    <row r="290" spans="2:3" x14ac:dyDescent="0.25">
      <c r="B290" s="29">
        <f t="shared" si="6"/>
        <v>284</v>
      </c>
      <c r="C290" s="35" cm="1">
        <f t="array" aca="1" ref="C290" ca="1">IF(ISNA(B290),"",dice(F$2,F$3))</f>
        <v>15</v>
      </c>
    </row>
    <row r="291" spans="2:3" x14ac:dyDescent="0.25">
      <c r="B291" s="29">
        <f t="shared" si="6"/>
        <v>285</v>
      </c>
      <c r="C291" s="35" cm="1">
        <f t="array" aca="1" ref="C291" ca="1">IF(ISNA(B291),"",dice(F$2,F$3))</f>
        <v>6</v>
      </c>
    </row>
    <row r="292" spans="2:3" x14ac:dyDescent="0.25">
      <c r="B292" s="29">
        <f t="shared" si="6"/>
        <v>286</v>
      </c>
      <c r="C292" s="35" cm="1">
        <f t="array" aca="1" ref="C292" ca="1">IF(ISNA(B292),"",dice(F$2,F$3))</f>
        <v>13</v>
      </c>
    </row>
    <row r="293" spans="2:3" x14ac:dyDescent="0.25">
      <c r="B293" s="29">
        <f t="shared" si="6"/>
        <v>287</v>
      </c>
      <c r="C293" s="35" cm="1">
        <f t="array" aca="1" ref="C293" ca="1">IF(ISNA(B293),"",dice(F$2,F$3))</f>
        <v>7</v>
      </c>
    </row>
    <row r="294" spans="2:3" x14ac:dyDescent="0.25">
      <c r="B294" s="29">
        <f t="shared" si="6"/>
        <v>288</v>
      </c>
      <c r="C294" s="35" cm="1">
        <f t="array" aca="1" ref="C294" ca="1">IF(ISNA(B294),"",dice(F$2,F$3))</f>
        <v>15</v>
      </c>
    </row>
    <row r="295" spans="2:3" x14ac:dyDescent="0.25">
      <c r="B295" s="29">
        <f t="shared" si="6"/>
        <v>289</v>
      </c>
      <c r="C295" s="35" cm="1">
        <f t="array" aca="1" ref="C295" ca="1">IF(ISNA(B295),"",dice(F$2,F$3))</f>
        <v>11</v>
      </c>
    </row>
    <row r="296" spans="2:3" x14ac:dyDescent="0.25">
      <c r="B296" s="29">
        <f t="shared" si="6"/>
        <v>290</v>
      </c>
      <c r="C296" s="35" cm="1">
        <f t="array" aca="1" ref="C296" ca="1">IF(ISNA(B296),"",dice(F$2,F$3))</f>
        <v>9</v>
      </c>
    </row>
    <row r="297" spans="2:3" x14ac:dyDescent="0.25">
      <c r="B297" s="29">
        <f t="shared" si="6"/>
        <v>291</v>
      </c>
      <c r="C297" s="35" cm="1">
        <f t="array" aca="1" ref="C297" ca="1">IF(ISNA(B297),"",dice(F$2,F$3))</f>
        <v>12</v>
      </c>
    </row>
    <row r="298" spans="2:3" x14ac:dyDescent="0.25">
      <c r="B298" s="29">
        <f t="shared" si="6"/>
        <v>292</v>
      </c>
      <c r="C298" s="35" cm="1">
        <f t="array" aca="1" ref="C298" ca="1">IF(ISNA(B298),"",dice(F$2,F$3))</f>
        <v>13</v>
      </c>
    </row>
    <row r="299" spans="2:3" x14ac:dyDescent="0.25">
      <c r="B299" s="29">
        <f t="shared" si="6"/>
        <v>293</v>
      </c>
      <c r="C299" s="35" cm="1">
        <f t="array" aca="1" ref="C299" ca="1">IF(ISNA(B299),"",dice(F$2,F$3))</f>
        <v>11</v>
      </c>
    </row>
    <row r="300" spans="2:3" x14ac:dyDescent="0.25">
      <c r="B300" s="29">
        <f t="shared" si="6"/>
        <v>294</v>
      </c>
      <c r="C300" s="35" cm="1">
        <f t="array" aca="1" ref="C300" ca="1">IF(ISNA(B300),"",dice(F$2,F$3))</f>
        <v>11</v>
      </c>
    </row>
    <row r="301" spans="2:3" x14ac:dyDescent="0.25">
      <c r="B301" s="29">
        <f t="shared" si="6"/>
        <v>295</v>
      </c>
      <c r="C301" s="35" cm="1">
        <f t="array" aca="1" ref="C301" ca="1">IF(ISNA(B301),"",dice(F$2,F$3))</f>
        <v>12</v>
      </c>
    </row>
    <row r="302" spans="2:3" x14ac:dyDescent="0.25">
      <c r="B302" s="29">
        <f t="shared" si="6"/>
        <v>296</v>
      </c>
      <c r="C302" s="35" cm="1">
        <f t="array" aca="1" ref="C302" ca="1">IF(ISNA(B302),"",dice(F$2,F$3))</f>
        <v>8</v>
      </c>
    </row>
    <row r="303" spans="2:3" x14ac:dyDescent="0.25">
      <c r="B303" s="29">
        <f t="shared" si="6"/>
        <v>297</v>
      </c>
      <c r="C303" s="35" cm="1">
        <f t="array" aca="1" ref="C303" ca="1">IF(ISNA(B303),"",dice(F$2,F$3))</f>
        <v>6</v>
      </c>
    </row>
    <row r="304" spans="2:3" x14ac:dyDescent="0.25">
      <c r="B304" s="29">
        <f t="shared" si="6"/>
        <v>298</v>
      </c>
      <c r="C304" s="35" cm="1">
        <f t="array" aca="1" ref="C304" ca="1">IF(ISNA(B304),"",dice(F$2,F$3))</f>
        <v>11</v>
      </c>
    </row>
    <row r="305" spans="2:3" x14ac:dyDescent="0.25">
      <c r="B305" s="29">
        <f t="shared" si="6"/>
        <v>299</v>
      </c>
      <c r="C305" s="35" cm="1">
        <f t="array" aca="1" ref="C305" ca="1">IF(ISNA(B305),"",dice(F$2,F$3))</f>
        <v>8</v>
      </c>
    </row>
    <row r="306" spans="2:3" x14ac:dyDescent="0.25">
      <c r="B306" s="29">
        <f t="shared" si="6"/>
        <v>300</v>
      </c>
      <c r="C306" s="35" cm="1">
        <f t="array" aca="1" ref="C306" ca="1">IF(ISNA(B306),"",dice(F$2,F$3))</f>
        <v>11</v>
      </c>
    </row>
    <row r="307" spans="2:3" x14ac:dyDescent="0.25">
      <c r="B307" s="29">
        <f t="shared" si="6"/>
        <v>301</v>
      </c>
      <c r="C307" s="35" cm="1">
        <f t="array" aca="1" ref="C307" ca="1">IF(ISNA(B307),"",dice(F$2,F$3))</f>
        <v>10</v>
      </c>
    </row>
    <row r="308" spans="2:3" x14ac:dyDescent="0.25">
      <c r="B308" s="29">
        <f t="shared" si="6"/>
        <v>302</v>
      </c>
      <c r="C308" s="35" cm="1">
        <f t="array" aca="1" ref="C308" ca="1">IF(ISNA(B308),"",dice(F$2,F$3))</f>
        <v>12</v>
      </c>
    </row>
    <row r="309" spans="2:3" x14ac:dyDescent="0.25">
      <c r="B309" s="29">
        <f t="shared" si="6"/>
        <v>303</v>
      </c>
      <c r="C309" s="35" cm="1">
        <f t="array" aca="1" ref="C309" ca="1">IF(ISNA(B309),"",dice(F$2,F$3))</f>
        <v>11</v>
      </c>
    </row>
    <row r="310" spans="2:3" x14ac:dyDescent="0.25">
      <c r="B310" s="29">
        <f t="shared" si="6"/>
        <v>304</v>
      </c>
      <c r="C310" s="35" cm="1">
        <f t="array" aca="1" ref="C310" ca="1">IF(ISNA(B310),"",dice(F$2,F$3))</f>
        <v>10</v>
      </c>
    </row>
    <row r="311" spans="2:3" x14ac:dyDescent="0.25">
      <c r="B311" s="29">
        <f t="shared" si="6"/>
        <v>305</v>
      </c>
      <c r="C311" s="35" cm="1">
        <f t="array" aca="1" ref="C311" ca="1">IF(ISNA(B311),"",dice(F$2,F$3))</f>
        <v>12</v>
      </c>
    </row>
    <row r="312" spans="2:3" x14ac:dyDescent="0.25">
      <c r="B312" s="29">
        <f t="shared" si="6"/>
        <v>306</v>
      </c>
      <c r="C312" s="35" cm="1">
        <f t="array" aca="1" ref="C312" ca="1">IF(ISNA(B312),"",dice(F$2,F$3))</f>
        <v>11</v>
      </c>
    </row>
    <row r="313" spans="2:3" x14ac:dyDescent="0.25">
      <c r="B313" s="29">
        <f t="shared" si="6"/>
        <v>307</v>
      </c>
      <c r="C313" s="35" cm="1">
        <f t="array" aca="1" ref="C313" ca="1">IF(ISNA(B313),"",dice(F$2,F$3))</f>
        <v>5</v>
      </c>
    </row>
    <row r="314" spans="2:3" x14ac:dyDescent="0.25">
      <c r="B314" s="29">
        <f t="shared" si="6"/>
        <v>308</v>
      </c>
      <c r="C314" s="35" cm="1">
        <f t="array" aca="1" ref="C314" ca="1">IF(ISNA(B314),"",dice(F$2,F$3))</f>
        <v>11</v>
      </c>
    </row>
    <row r="315" spans="2:3" x14ac:dyDescent="0.25">
      <c r="B315" s="29">
        <f t="shared" si="6"/>
        <v>309</v>
      </c>
      <c r="C315" s="35" cm="1">
        <f t="array" aca="1" ref="C315" ca="1">IF(ISNA(B315),"",dice(F$2,F$3))</f>
        <v>13</v>
      </c>
    </row>
    <row r="316" spans="2:3" x14ac:dyDescent="0.25">
      <c r="B316" s="29">
        <f t="shared" si="6"/>
        <v>310</v>
      </c>
      <c r="C316" s="35" cm="1">
        <f t="array" aca="1" ref="C316" ca="1">IF(ISNA(B316),"",dice(F$2,F$3))</f>
        <v>14</v>
      </c>
    </row>
    <row r="317" spans="2:3" x14ac:dyDescent="0.25">
      <c r="B317" s="29">
        <f t="shared" si="6"/>
        <v>311</v>
      </c>
      <c r="C317" s="35" cm="1">
        <f t="array" aca="1" ref="C317" ca="1">IF(ISNA(B317),"",dice(F$2,F$3))</f>
        <v>15</v>
      </c>
    </row>
    <row r="318" spans="2:3" x14ac:dyDescent="0.25">
      <c r="B318" s="29">
        <f t="shared" si="6"/>
        <v>312</v>
      </c>
      <c r="C318" s="35" cm="1">
        <f t="array" aca="1" ref="C318" ca="1">IF(ISNA(B318),"",dice(F$2,F$3))</f>
        <v>12</v>
      </c>
    </row>
    <row r="319" spans="2:3" x14ac:dyDescent="0.25">
      <c r="B319" s="29">
        <f t="shared" si="6"/>
        <v>313</v>
      </c>
      <c r="C319" s="35" cm="1">
        <f t="array" aca="1" ref="C319" ca="1">IF(ISNA(B319),"",dice(F$2,F$3))</f>
        <v>13</v>
      </c>
    </row>
    <row r="320" spans="2:3" x14ac:dyDescent="0.25">
      <c r="B320" s="29">
        <f t="shared" si="6"/>
        <v>314</v>
      </c>
      <c r="C320" s="35" cm="1">
        <f t="array" aca="1" ref="C320" ca="1">IF(ISNA(B320),"",dice(F$2,F$3))</f>
        <v>12</v>
      </c>
    </row>
    <row r="321" spans="2:3" x14ac:dyDescent="0.25">
      <c r="B321" s="29">
        <f t="shared" si="6"/>
        <v>315</v>
      </c>
      <c r="C321" s="35" cm="1">
        <f t="array" aca="1" ref="C321" ca="1">IF(ISNA(B321),"",dice(F$2,F$3))</f>
        <v>7</v>
      </c>
    </row>
    <row r="322" spans="2:3" x14ac:dyDescent="0.25">
      <c r="B322" s="29">
        <f t="shared" si="6"/>
        <v>316</v>
      </c>
      <c r="C322" s="35" cm="1">
        <f t="array" aca="1" ref="C322" ca="1">IF(ISNA(B322),"",dice(F$2,F$3))</f>
        <v>11</v>
      </c>
    </row>
    <row r="323" spans="2:3" x14ac:dyDescent="0.25">
      <c r="B323" s="29">
        <f t="shared" si="6"/>
        <v>317</v>
      </c>
      <c r="C323" s="35" cm="1">
        <f t="array" aca="1" ref="C323" ca="1">IF(ISNA(B323),"",dice(F$2,F$3))</f>
        <v>15</v>
      </c>
    </row>
    <row r="324" spans="2:3" x14ac:dyDescent="0.25">
      <c r="B324" s="29">
        <f t="shared" si="6"/>
        <v>318</v>
      </c>
      <c r="C324" s="35" cm="1">
        <f t="array" aca="1" ref="C324" ca="1">IF(ISNA(B324),"",dice(F$2,F$3))</f>
        <v>9</v>
      </c>
    </row>
    <row r="325" spans="2:3" x14ac:dyDescent="0.25">
      <c r="B325" s="29">
        <f t="shared" si="6"/>
        <v>319</v>
      </c>
      <c r="C325" s="35" cm="1">
        <f t="array" aca="1" ref="C325" ca="1">IF(ISNA(B325),"",dice(F$2,F$3))</f>
        <v>10</v>
      </c>
    </row>
    <row r="326" spans="2:3" x14ac:dyDescent="0.25">
      <c r="B326" s="29">
        <f t="shared" si="6"/>
        <v>320</v>
      </c>
      <c r="C326" s="35" cm="1">
        <f t="array" aca="1" ref="C326" ca="1">IF(ISNA(B326),"",dice(F$2,F$3))</f>
        <v>9</v>
      </c>
    </row>
    <row r="327" spans="2:3" x14ac:dyDescent="0.25">
      <c r="B327" s="29">
        <f t="shared" si="6"/>
        <v>321</v>
      </c>
      <c r="C327" s="35" cm="1">
        <f t="array" aca="1" ref="C327" ca="1">IF(ISNA(B327),"",dice(F$2,F$3))</f>
        <v>12</v>
      </c>
    </row>
    <row r="328" spans="2:3" x14ac:dyDescent="0.25">
      <c r="B328" s="29">
        <f t="shared" si="6"/>
        <v>322</v>
      </c>
      <c r="C328" s="35" cm="1">
        <f t="array" aca="1" ref="C328" ca="1">IF(ISNA(B328),"",dice(F$2,F$3))</f>
        <v>10</v>
      </c>
    </row>
    <row r="329" spans="2:3" x14ac:dyDescent="0.25">
      <c r="B329" s="29">
        <f t="shared" ref="B329:B392" si="7">IF(B328&lt;F$4,B328+1,NA())</f>
        <v>323</v>
      </c>
      <c r="C329" s="35" cm="1">
        <f t="array" aca="1" ref="C329" ca="1">IF(ISNA(B329),"",dice(F$2,F$3))</f>
        <v>12</v>
      </c>
    </row>
    <row r="330" spans="2:3" x14ac:dyDescent="0.25">
      <c r="B330" s="29">
        <f t="shared" si="7"/>
        <v>324</v>
      </c>
      <c r="C330" s="35" cm="1">
        <f t="array" aca="1" ref="C330" ca="1">IF(ISNA(B330),"",dice(F$2,F$3))</f>
        <v>14</v>
      </c>
    </row>
    <row r="331" spans="2:3" x14ac:dyDescent="0.25">
      <c r="B331" s="29">
        <f t="shared" si="7"/>
        <v>325</v>
      </c>
      <c r="C331" s="35" cm="1">
        <f t="array" aca="1" ref="C331" ca="1">IF(ISNA(B331),"",dice(F$2,F$3))</f>
        <v>10</v>
      </c>
    </row>
    <row r="332" spans="2:3" x14ac:dyDescent="0.25">
      <c r="B332" s="29">
        <f t="shared" si="7"/>
        <v>326</v>
      </c>
      <c r="C332" s="35" cm="1">
        <f t="array" aca="1" ref="C332" ca="1">IF(ISNA(B332),"",dice(F$2,F$3))</f>
        <v>11</v>
      </c>
    </row>
    <row r="333" spans="2:3" x14ac:dyDescent="0.25">
      <c r="B333" s="29">
        <f t="shared" si="7"/>
        <v>327</v>
      </c>
      <c r="C333" s="35" cm="1">
        <f t="array" aca="1" ref="C333" ca="1">IF(ISNA(B333),"",dice(F$2,F$3))</f>
        <v>12</v>
      </c>
    </row>
    <row r="334" spans="2:3" x14ac:dyDescent="0.25">
      <c r="B334" s="29">
        <f t="shared" si="7"/>
        <v>328</v>
      </c>
      <c r="C334" s="35" cm="1">
        <f t="array" aca="1" ref="C334" ca="1">IF(ISNA(B334),"",dice(F$2,F$3))</f>
        <v>13</v>
      </c>
    </row>
    <row r="335" spans="2:3" x14ac:dyDescent="0.25">
      <c r="B335" s="29">
        <f t="shared" si="7"/>
        <v>329</v>
      </c>
      <c r="C335" s="35" cm="1">
        <f t="array" aca="1" ref="C335" ca="1">IF(ISNA(B335),"",dice(F$2,F$3))</f>
        <v>13</v>
      </c>
    </row>
    <row r="336" spans="2:3" x14ac:dyDescent="0.25">
      <c r="B336" s="29">
        <f t="shared" si="7"/>
        <v>330</v>
      </c>
      <c r="C336" s="35" cm="1">
        <f t="array" aca="1" ref="C336" ca="1">IF(ISNA(B336),"",dice(F$2,F$3))</f>
        <v>8</v>
      </c>
    </row>
    <row r="337" spans="2:3" x14ac:dyDescent="0.25">
      <c r="B337" s="29">
        <f t="shared" si="7"/>
        <v>331</v>
      </c>
      <c r="C337" s="35" cm="1">
        <f t="array" aca="1" ref="C337" ca="1">IF(ISNA(B337),"",dice(F$2,F$3))</f>
        <v>7</v>
      </c>
    </row>
    <row r="338" spans="2:3" x14ac:dyDescent="0.25">
      <c r="B338" s="29">
        <f t="shared" si="7"/>
        <v>332</v>
      </c>
      <c r="C338" s="35" cm="1">
        <f t="array" aca="1" ref="C338" ca="1">IF(ISNA(B338),"",dice(F$2,F$3))</f>
        <v>10</v>
      </c>
    </row>
    <row r="339" spans="2:3" x14ac:dyDescent="0.25">
      <c r="B339" s="29">
        <f t="shared" si="7"/>
        <v>333</v>
      </c>
      <c r="C339" s="35" cm="1">
        <f t="array" aca="1" ref="C339" ca="1">IF(ISNA(B339),"",dice(F$2,F$3))</f>
        <v>10</v>
      </c>
    </row>
    <row r="340" spans="2:3" x14ac:dyDescent="0.25">
      <c r="B340" s="29">
        <f t="shared" si="7"/>
        <v>334</v>
      </c>
      <c r="C340" s="35" cm="1">
        <f t="array" aca="1" ref="C340" ca="1">IF(ISNA(B340),"",dice(F$2,F$3))</f>
        <v>13</v>
      </c>
    </row>
    <row r="341" spans="2:3" x14ac:dyDescent="0.25">
      <c r="B341" s="29">
        <f t="shared" si="7"/>
        <v>335</v>
      </c>
      <c r="C341" s="35" cm="1">
        <f t="array" aca="1" ref="C341" ca="1">IF(ISNA(B341),"",dice(F$2,F$3))</f>
        <v>14</v>
      </c>
    </row>
    <row r="342" spans="2:3" x14ac:dyDescent="0.25">
      <c r="B342" s="29">
        <f t="shared" si="7"/>
        <v>336</v>
      </c>
      <c r="C342" s="35" cm="1">
        <f t="array" aca="1" ref="C342" ca="1">IF(ISNA(B342),"",dice(F$2,F$3))</f>
        <v>11</v>
      </c>
    </row>
    <row r="343" spans="2:3" x14ac:dyDescent="0.25">
      <c r="B343" s="29">
        <f t="shared" si="7"/>
        <v>337</v>
      </c>
      <c r="C343" s="35" cm="1">
        <f t="array" aca="1" ref="C343" ca="1">IF(ISNA(B343),"",dice(F$2,F$3))</f>
        <v>15</v>
      </c>
    </row>
    <row r="344" spans="2:3" x14ac:dyDescent="0.25">
      <c r="B344" s="29">
        <f t="shared" si="7"/>
        <v>338</v>
      </c>
      <c r="C344" s="35" cm="1">
        <f t="array" aca="1" ref="C344" ca="1">IF(ISNA(B344),"",dice(F$2,F$3))</f>
        <v>17</v>
      </c>
    </row>
    <row r="345" spans="2:3" x14ac:dyDescent="0.25">
      <c r="B345" s="29">
        <f t="shared" si="7"/>
        <v>339</v>
      </c>
      <c r="C345" s="35" cm="1">
        <f t="array" aca="1" ref="C345" ca="1">IF(ISNA(B345),"",dice(F$2,F$3))</f>
        <v>7</v>
      </c>
    </row>
    <row r="346" spans="2:3" x14ac:dyDescent="0.25">
      <c r="B346" s="29">
        <f t="shared" si="7"/>
        <v>340</v>
      </c>
      <c r="C346" s="35" cm="1">
        <f t="array" aca="1" ref="C346" ca="1">IF(ISNA(B346),"",dice(F$2,F$3))</f>
        <v>12</v>
      </c>
    </row>
    <row r="347" spans="2:3" x14ac:dyDescent="0.25">
      <c r="B347" s="29">
        <f t="shared" si="7"/>
        <v>341</v>
      </c>
      <c r="C347" s="35" cm="1">
        <f t="array" aca="1" ref="C347" ca="1">IF(ISNA(B347),"",dice(F$2,F$3))</f>
        <v>10</v>
      </c>
    </row>
    <row r="348" spans="2:3" x14ac:dyDescent="0.25">
      <c r="B348" s="29">
        <f t="shared" si="7"/>
        <v>342</v>
      </c>
      <c r="C348" s="35" cm="1">
        <f t="array" aca="1" ref="C348" ca="1">IF(ISNA(B348),"",dice(F$2,F$3))</f>
        <v>9</v>
      </c>
    </row>
    <row r="349" spans="2:3" x14ac:dyDescent="0.25">
      <c r="B349" s="29">
        <f t="shared" si="7"/>
        <v>343</v>
      </c>
      <c r="C349" s="35" cm="1">
        <f t="array" aca="1" ref="C349" ca="1">IF(ISNA(B349),"",dice(F$2,F$3))</f>
        <v>6</v>
      </c>
    </row>
    <row r="350" spans="2:3" x14ac:dyDescent="0.25">
      <c r="B350" s="29">
        <f t="shared" si="7"/>
        <v>344</v>
      </c>
      <c r="C350" s="35" cm="1">
        <f t="array" aca="1" ref="C350" ca="1">IF(ISNA(B350),"",dice(F$2,F$3))</f>
        <v>13</v>
      </c>
    </row>
    <row r="351" spans="2:3" x14ac:dyDescent="0.25">
      <c r="B351" s="29">
        <f t="shared" si="7"/>
        <v>345</v>
      </c>
      <c r="C351" s="35" cm="1">
        <f t="array" aca="1" ref="C351" ca="1">IF(ISNA(B351),"",dice(F$2,F$3))</f>
        <v>12</v>
      </c>
    </row>
    <row r="352" spans="2:3" x14ac:dyDescent="0.25">
      <c r="B352" s="29">
        <f t="shared" si="7"/>
        <v>346</v>
      </c>
      <c r="C352" s="35" cm="1">
        <f t="array" aca="1" ref="C352" ca="1">IF(ISNA(B352),"",dice(F$2,F$3))</f>
        <v>15</v>
      </c>
    </row>
    <row r="353" spans="2:3" x14ac:dyDescent="0.25">
      <c r="B353" s="29">
        <f t="shared" si="7"/>
        <v>347</v>
      </c>
      <c r="C353" s="35" cm="1">
        <f t="array" aca="1" ref="C353" ca="1">IF(ISNA(B353),"",dice(F$2,F$3))</f>
        <v>12</v>
      </c>
    </row>
    <row r="354" spans="2:3" x14ac:dyDescent="0.25">
      <c r="B354" s="29">
        <f t="shared" si="7"/>
        <v>348</v>
      </c>
      <c r="C354" s="35" cm="1">
        <f t="array" aca="1" ref="C354" ca="1">IF(ISNA(B354),"",dice(F$2,F$3))</f>
        <v>5</v>
      </c>
    </row>
    <row r="355" spans="2:3" x14ac:dyDescent="0.25">
      <c r="B355" s="29">
        <f t="shared" si="7"/>
        <v>349</v>
      </c>
      <c r="C355" s="35" cm="1">
        <f t="array" aca="1" ref="C355" ca="1">IF(ISNA(B355),"",dice(F$2,F$3))</f>
        <v>12</v>
      </c>
    </row>
    <row r="356" spans="2:3" x14ac:dyDescent="0.25">
      <c r="B356" s="29">
        <f t="shared" si="7"/>
        <v>350</v>
      </c>
      <c r="C356" s="35" cm="1">
        <f t="array" aca="1" ref="C356" ca="1">IF(ISNA(B356),"",dice(F$2,F$3))</f>
        <v>8</v>
      </c>
    </row>
    <row r="357" spans="2:3" x14ac:dyDescent="0.25">
      <c r="B357" s="29">
        <f t="shared" si="7"/>
        <v>351</v>
      </c>
      <c r="C357" s="35" cm="1">
        <f t="array" aca="1" ref="C357" ca="1">IF(ISNA(B357),"",dice(F$2,F$3))</f>
        <v>11</v>
      </c>
    </row>
    <row r="358" spans="2:3" x14ac:dyDescent="0.25">
      <c r="B358" s="29">
        <f t="shared" si="7"/>
        <v>352</v>
      </c>
      <c r="C358" s="35" cm="1">
        <f t="array" aca="1" ref="C358" ca="1">IF(ISNA(B358),"",dice(F$2,F$3))</f>
        <v>13</v>
      </c>
    </row>
    <row r="359" spans="2:3" x14ac:dyDescent="0.25">
      <c r="B359" s="29">
        <f t="shared" si="7"/>
        <v>353</v>
      </c>
      <c r="C359" s="35" cm="1">
        <f t="array" aca="1" ref="C359" ca="1">IF(ISNA(B359),"",dice(F$2,F$3))</f>
        <v>11</v>
      </c>
    </row>
    <row r="360" spans="2:3" x14ac:dyDescent="0.25">
      <c r="B360" s="29">
        <f t="shared" si="7"/>
        <v>354</v>
      </c>
      <c r="C360" s="35" cm="1">
        <f t="array" aca="1" ref="C360" ca="1">IF(ISNA(B360),"",dice(F$2,F$3))</f>
        <v>15</v>
      </c>
    </row>
    <row r="361" spans="2:3" x14ac:dyDescent="0.25">
      <c r="B361" s="29">
        <f t="shared" si="7"/>
        <v>355</v>
      </c>
      <c r="C361" s="35" cm="1">
        <f t="array" aca="1" ref="C361" ca="1">IF(ISNA(B361),"",dice(F$2,F$3))</f>
        <v>10</v>
      </c>
    </row>
    <row r="362" spans="2:3" x14ac:dyDescent="0.25">
      <c r="B362" s="29">
        <f t="shared" si="7"/>
        <v>356</v>
      </c>
      <c r="C362" s="35" cm="1">
        <f t="array" aca="1" ref="C362" ca="1">IF(ISNA(B362),"",dice(F$2,F$3))</f>
        <v>7</v>
      </c>
    </row>
    <row r="363" spans="2:3" x14ac:dyDescent="0.25">
      <c r="B363" s="29">
        <f t="shared" si="7"/>
        <v>357</v>
      </c>
      <c r="C363" s="35" cm="1">
        <f t="array" aca="1" ref="C363" ca="1">IF(ISNA(B363),"",dice(F$2,F$3))</f>
        <v>15</v>
      </c>
    </row>
    <row r="364" spans="2:3" x14ac:dyDescent="0.25">
      <c r="B364" s="29">
        <f t="shared" si="7"/>
        <v>358</v>
      </c>
      <c r="C364" s="35" cm="1">
        <f t="array" aca="1" ref="C364" ca="1">IF(ISNA(B364),"",dice(F$2,F$3))</f>
        <v>8</v>
      </c>
    </row>
    <row r="365" spans="2:3" x14ac:dyDescent="0.25">
      <c r="B365" s="29">
        <f t="shared" si="7"/>
        <v>359</v>
      </c>
      <c r="C365" s="35" cm="1">
        <f t="array" aca="1" ref="C365" ca="1">IF(ISNA(B365),"",dice(F$2,F$3))</f>
        <v>5</v>
      </c>
    </row>
    <row r="366" spans="2:3" x14ac:dyDescent="0.25">
      <c r="B366" s="29">
        <f t="shared" si="7"/>
        <v>360</v>
      </c>
      <c r="C366" s="35" cm="1">
        <f t="array" aca="1" ref="C366" ca="1">IF(ISNA(B366),"",dice(F$2,F$3))</f>
        <v>8</v>
      </c>
    </row>
    <row r="367" spans="2:3" x14ac:dyDescent="0.25">
      <c r="B367" s="29">
        <f t="shared" si="7"/>
        <v>361</v>
      </c>
      <c r="C367" s="35" cm="1">
        <f t="array" aca="1" ref="C367" ca="1">IF(ISNA(B367),"",dice(F$2,F$3))</f>
        <v>9</v>
      </c>
    </row>
    <row r="368" spans="2:3" x14ac:dyDescent="0.25">
      <c r="B368" s="29">
        <f t="shared" si="7"/>
        <v>362</v>
      </c>
      <c r="C368" s="35" cm="1">
        <f t="array" aca="1" ref="C368" ca="1">IF(ISNA(B368),"",dice(F$2,F$3))</f>
        <v>11</v>
      </c>
    </row>
    <row r="369" spans="2:3" x14ac:dyDescent="0.25">
      <c r="B369" s="29">
        <f t="shared" si="7"/>
        <v>363</v>
      </c>
      <c r="C369" s="35" cm="1">
        <f t="array" aca="1" ref="C369" ca="1">IF(ISNA(B369),"",dice(F$2,F$3))</f>
        <v>7</v>
      </c>
    </row>
    <row r="370" spans="2:3" x14ac:dyDescent="0.25">
      <c r="B370" s="29">
        <f t="shared" si="7"/>
        <v>364</v>
      </c>
      <c r="C370" s="35" cm="1">
        <f t="array" aca="1" ref="C370" ca="1">IF(ISNA(B370),"",dice(F$2,F$3))</f>
        <v>12</v>
      </c>
    </row>
    <row r="371" spans="2:3" x14ac:dyDescent="0.25">
      <c r="B371" s="29">
        <f t="shared" si="7"/>
        <v>365</v>
      </c>
      <c r="C371" s="35" cm="1">
        <f t="array" aca="1" ref="C371" ca="1">IF(ISNA(B371),"",dice(F$2,F$3))</f>
        <v>8</v>
      </c>
    </row>
    <row r="372" spans="2:3" x14ac:dyDescent="0.25">
      <c r="B372" s="29">
        <f t="shared" si="7"/>
        <v>366</v>
      </c>
      <c r="C372" s="35" cm="1">
        <f t="array" aca="1" ref="C372" ca="1">IF(ISNA(B372),"",dice(F$2,F$3))</f>
        <v>12</v>
      </c>
    </row>
    <row r="373" spans="2:3" x14ac:dyDescent="0.25">
      <c r="B373" s="29">
        <f t="shared" si="7"/>
        <v>367</v>
      </c>
      <c r="C373" s="35" cm="1">
        <f t="array" aca="1" ref="C373" ca="1">IF(ISNA(B373),"",dice(F$2,F$3))</f>
        <v>8</v>
      </c>
    </row>
    <row r="374" spans="2:3" x14ac:dyDescent="0.25">
      <c r="B374" s="29">
        <f t="shared" si="7"/>
        <v>368</v>
      </c>
      <c r="C374" s="35" cm="1">
        <f t="array" aca="1" ref="C374" ca="1">IF(ISNA(B374),"",dice(F$2,F$3))</f>
        <v>6</v>
      </c>
    </row>
    <row r="375" spans="2:3" x14ac:dyDescent="0.25">
      <c r="B375" s="29">
        <f t="shared" si="7"/>
        <v>369</v>
      </c>
      <c r="C375" s="35" cm="1">
        <f t="array" aca="1" ref="C375" ca="1">IF(ISNA(B375),"",dice(F$2,F$3))</f>
        <v>7</v>
      </c>
    </row>
    <row r="376" spans="2:3" x14ac:dyDescent="0.25">
      <c r="B376" s="29">
        <f t="shared" si="7"/>
        <v>370</v>
      </c>
      <c r="C376" s="35" cm="1">
        <f t="array" aca="1" ref="C376" ca="1">IF(ISNA(B376),"",dice(F$2,F$3))</f>
        <v>11</v>
      </c>
    </row>
    <row r="377" spans="2:3" x14ac:dyDescent="0.25">
      <c r="B377" s="29">
        <f t="shared" si="7"/>
        <v>371</v>
      </c>
      <c r="C377" s="35" cm="1">
        <f t="array" aca="1" ref="C377" ca="1">IF(ISNA(B377),"",dice(F$2,F$3))</f>
        <v>13</v>
      </c>
    </row>
    <row r="378" spans="2:3" x14ac:dyDescent="0.25">
      <c r="B378" s="29">
        <f t="shared" si="7"/>
        <v>372</v>
      </c>
      <c r="C378" s="35" cm="1">
        <f t="array" aca="1" ref="C378" ca="1">IF(ISNA(B378),"",dice(F$2,F$3))</f>
        <v>15</v>
      </c>
    </row>
    <row r="379" spans="2:3" x14ac:dyDescent="0.25">
      <c r="B379" s="29">
        <f t="shared" si="7"/>
        <v>373</v>
      </c>
      <c r="C379" s="35" cm="1">
        <f t="array" aca="1" ref="C379" ca="1">IF(ISNA(B379),"",dice(F$2,F$3))</f>
        <v>12</v>
      </c>
    </row>
    <row r="380" spans="2:3" x14ac:dyDescent="0.25">
      <c r="B380" s="29">
        <f t="shared" si="7"/>
        <v>374</v>
      </c>
      <c r="C380" s="35" cm="1">
        <f t="array" aca="1" ref="C380" ca="1">IF(ISNA(B380),"",dice(F$2,F$3))</f>
        <v>7</v>
      </c>
    </row>
    <row r="381" spans="2:3" x14ac:dyDescent="0.25">
      <c r="B381" s="29">
        <f t="shared" si="7"/>
        <v>375</v>
      </c>
      <c r="C381" s="35" cm="1">
        <f t="array" aca="1" ref="C381" ca="1">IF(ISNA(B381),"",dice(F$2,F$3))</f>
        <v>10</v>
      </c>
    </row>
    <row r="382" spans="2:3" x14ac:dyDescent="0.25">
      <c r="B382" s="29">
        <f t="shared" si="7"/>
        <v>376</v>
      </c>
      <c r="C382" s="35" cm="1">
        <f t="array" aca="1" ref="C382" ca="1">IF(ISNA(B382),"",dice(F$2,F$3))</f>
        <v>10</v>
      </c>
    </row>
    <row r="383" spans="2:3" x14ac:dyDescent="0.25">
      <c r="B383" s="29">
        <f t="shared" si="7"/>
        <v>377</v>
      </c>
      <c r="C383" s="35" cm="1">
        <f t="array" aca="1" ref="C383" ca="1">IF(ISNA(B383),"",dice(F$2,F$3))</f>
        <v>9</v>
      </c>
    </row>
    <row r="384" spans="2:3" x14ac:dyDescent="0.25">
      <c r="B384" s="29">
        <f t="shared" si="7"/>
        <v>378</v>
      </c>
      <c r="C384" s="35" cm="1">
        <f t="array" aca="1" ref="C384" ca="1">IF(ISNA(B384),"",dice(F$2,F$3))</f>
        <v>12</v>
      </c>
    </row>
    <row r="385" spans="2:3" x14ac:dyDescent="0.25">
      <c r="B385" s="29">
        <f t="shared" si="7"/>
        <v>379</v>
      </c>
      <c r="C385" s="35" cm="1">
        <f t="array" aca="1" ref="C385" ca="1">IF(ISNA(B385),"",dice(F$2,F$3))</f>
        <v>13</v>
      </c>
    </row>
    <row r="386" spans="2:3" x14ac:dyDescent="0.25">
      <c r="B386" s="29">
        <f t="shared" si="7"/>
        <v>380</v>
      </c>
      <c r="C386" s="35" cm="1">
        <f t="array" aca="1" ref="C386" ca="1">IF(ISNA(B386),"",dice(F$2,F$3))</f>
        <v>10</v>
      </c>
    </row>
    <row r="387" spans="2:3" x14ac:dyDescent="0.25">
      <c r="B387" s="29">
        <f t="shared" si="7"/>
        <v>381</v>
      </c>
      <c r="C387" s="35" cm="1">
        <f t="array" aca="1" ref="C387" ca="1">IF(ISNA(B387),"",dice(F$2,F$3))</f>
        <v>15</v>
      </c>
    </row>
    <row r="388" spans="2:3" x14ac:dyDescent="0.25">
      <c r="B388" s="29">
        <f t="shared" si="7"/>
        <v>382</v>
      </c>
      <c r="C388" s="35" cm="1">
        <f t="array" aca="1" ref="C388" ca="1">IF(ISNA(B388),"",dice(F$2,F$3))</f>
        <v>9</v>
      </c>
    </row>
    <row r="389" spans="2:3" x14ac:dyDescent="0.25">
      <c r="B389" s="29">
        <f t="shared" si="7"/>
        <v>383</v>
      </c>
      <c r="C389" s="35" cm="1">
        <f t="array" aca="1" ref="C389" ca="1">IF(ISNA(B389),"",dice(F$2,F$3))</f>
        <v>9</v>
      </c>
    </row>
    <row r="390" spans="2:3" x14ac:dyDescent="0.25">
      <c r="B390" s="29">
        <f t="shared" si="7"/>
        <v>384</v>
      </c>
      <c r="C390" s="35" cm="1">
        <f t="array" aca="1" ref="C390" ca="1">IF(ISNA(B390),"",dice(F$2,F$3))</f>
        <v>9</v>
      </c>
    </row>
    <row r="391" spans="2:3" x14ac:dyDescent="0.25">
      <c r="B391" s="29">
        <f t="shared" si="7"/>
        <v>385</v>
      </c>
      <c r="C391" s="35" cm="1">
        <f t="array" aca="1" ref="C391" ca="1">IF(ISNA(B391),"",dice(F$2,F$3))</f>
        <v>7</v>
      </c>
    </row>
    <row r="392" spans="2:3" x14ac:dyDescent="0.25">
      <c r="B392" s="29">
        <f t="shared" si="7"/>
        <v>386</v>
      </c>
      <c r="C392" s="35" cm="1">
        <f t="array" aca="1" ref="C392" ca="1">IF(ISNA(B392),"",dice(F$2,F$3))</f>
        <v>3</v>
      </c>
    </row>
    <row r="393" spans="2:3" x14ac:dyDescent="0.25">
      <c r="B393" s="29">
        <f t="shared" ref="B393:B456" si="8">IF(B392&lt;F$4,B392+1,NA())</f>
        <v>387</v>
      </c>
      <c r="C393" s="35" cm="1">
        <f t="array" aca="1" ref="C393" ca="1">IF(ISNA(B393),"",dice(F$2,F$3))</f>
        <v>8</v>
      </c>
    </row>
    <row r="394" spans="2:3" x14ac:dyDescent="0.25">
      <c r="B394" s="29">
        <f t="shared" si="8"/>
        <v>388</v>
      </c>
      <c r="C394" s="35" cm="1">
        <f t="array" aca="1" ref="C394" ca="1">IF(ISNA(B394),"",dice(F$2,F$3))</f>
        <v>13</v>
      </c>
    </row>
    <row r="395" spans="2:3" x14ac:dyDescent="0.25">
      <c r="B395" s="29">
        <f t="shared" si="8"/>
        <v>389</v>
      </c>
      <c r="C395" s="35" cm="1">
        <f t="array" aca="1" ref="C395" ca="1">IF(ISNA(B395),"",dice(F$2,F$3))</f>
        <v>6</v>
      </c>
    </row>
    <row r="396" spans="2:3" x14ac:dyDescent="0.25">
      <c r="B396" s="29">
        <f t="shared" si="8"/>
        <v>390</v>
      </c>
      <c r="C396" s="35" cm="1">
        <f t="array" aca="1" ref="C396" ca="1">IF(ISNA(B396),"",dice(F$2,F$3))</f>
        <v>17</v>
      </c>
    </row>
    <row r="397" spans="2:3" x14ac:dyDescent="0.25">
      <c r="B397" s="29">
        <f t="shared" si="8"/>
        <v>391</v>
      </c>
      <c r="C397" s="35" cm="1">
        <f t="array" aca="1" ref="C397" ca="1">IF(ISNA(B397),"",dice(F$2,F$3))</f>
        <v>8</v>
      </c>
    </row>
    <row r="398" spans="2:3" x14ac:dyDescent="0.25">
      <c r="B398" s="29">
        <f t="shared" si="8"/>
        <v>392</v>
      </c>
      <c r="C398" s="35" cm="1">
        <f t="array" aca="1" ref="C398" ca="1">IF(ISNA(B398),"",dice(F$2,F$3))</f>
        <v>15</v>
      </c>
    </row>
    <row r="399" spans="2:3" x14ac:dyDescent="0.25">
      <c r="B399" s="29">
        <f t="shared" si="8"/>
        <v>393</v>
      </c>
      <c r="C399" s="35" cm="1">
        <f t="array" aca="1" ref="C399" ca="1">IF(ISNA(B399),"",dice(F$2,F$3))</f>
        <v>12</v>
      </c>
    </row>
    <row r="400" spans="2:3" x14ac:dyDescent="0.25">
      <c r="B400" s="29">
        <f t="shared" si="8"/>
        <v>394</v>
      </c>
      <c r="C400" s="35" cm="1">
        <f t="array" aca="1" ref="C400" ca="1">IF(ISNA(B400),"",dice(F$2,F$3))</f>
        <v>10</v>
      </c>
    </row>
    <row r="401" spans="2:3" x14ac:dyDescent="0.25">
      <c r="B401" s="29">
        <f t="shared" si="8"/>
        <v>395</v>
      </c>
      <c r="C401" s="35" cm="1">
        <f t="array" aca="1" ref="C401" ca="1">IF(ISNA(B401),"",dice(F$2,F$3))</f>
        <v>14</v>
      </c>
    </row>
    <row r="402" spans="2:3" x14ac:dyDescent="0.25">
      <c r="B402" s="29">
        <f t="shared" si="8"/>
        <v>396</v>
      </c>
      <c r="C402" s="35" cm="1">
        <f t="array" aca="1" ref="C402" ca="1">IF(ISNA(B402),"",dice(F$2,F$3))</f>
        <v>11</v>
      </c>
    </row>
    <row r="403" spans="2:3" x14ac:dyDescent="0.25">
      <c r="B403" s="29">
        <f t="shared" si="8"/>
        <v>397</v>
      </c>
      <c r="C403" s="35" cm="1">
        <f t="array" aca="1" ref="C403" ca="1">IF(ISNA(B403),"",dice(F$2,F$3))</f>
        <v>15</v>
      </c>
    </row>
    <row r="404" spans="2:3" x14ac:dyDescent="0.25">
      <c r="B404" s="29">
        <f t="shared" si="8"/>
        <v>398</v>
      </c>
      <c r="C404" s="35" cm="1">
        <f t="array" aca="1" ref="C404" ca="1">IF(ISNA(B404),"",dice(F$2,F$3))</f>
        <v>8</v>
      </c>
    </row>
    <row r="405" spans="2:3" x14ac:dyDescent="0.25">
      <c r="B405" s="29">
        <f t="shared" si="8"/>
        <v>399</v>
      </c>
      <c r="C405" s="35" cm="1">
        <f t="array" aca="1" ref="C405" ca="1">IF(ISNA(B405),"",dice(F$2,F$3))</f>
        <v>8</v>
      </c>
    </row>
    <row r="406" spans="2:3" x14ac:dyDescent="0.25">
      <c r="B406" s="29">
        <f t="shared" si="8"/>
        <v>400</v>
      </c>
      <c r="C406" s="35" cm="1">
        <f t="array" aca="1" ref="C406" ca="1">IF(ISNA(B406),"",dice(F$2,F$3))</f>
        <v>12</v>
      </c>
    </row>
    <row r="407" spans="2:3" x14ac:dyDescent="0.25">
      <c r="B407" s="29">
        <f t="shared" si="8"/>
        <v>401</v>
      </c>
      <c r="C407" s="35" cm="1">
        <f t="array" aca="1" ref="C407" ca="1">IF(ISNA(B407),"",dice(F$2,F$3))</f>
        <v>8</v>
      </c>
    </row>
    <row r="408" spans="2:3" x14ac:dyDescent="0.25">
      <c r="B408" s="29">
        <f t="shared" si="8"/>
        <v>402</v>
      </c>
      <c r="C408" s="35" cm="1">
        <f t="array" aca="1" ref="C408" ca="1">IF(ISNA(B408),"",dice(F$2,F$3))</f>
        <v>8</v>
      </c>
    </row>
    <row r="409" spans="2:3" x14ac:dyDescent="0.25">
      <c r="B409" s="29">
        <f t="shared" si="8"/>
        <v>403</v>
      </c>
      <c r="C409" s="35" cm="1">
        <f t="array" aca="1" ref="C409" ca="1">IF(ISNA(B409),"",dice(F$2,F$3))</f>
        <v>4</v>
      </c>
    </row>
    <row r="410" spans="2:3" x14ac:dyDescent="0.25">
      <c r="B410" s="29">
        <f t="shared" si="8"/>
        <v>404</v>
      </c>
      <c r="C410" s="35" cm="1">
        <f t="array" aca="1" ref="C410" ca="1">IF(ISNA(B410),"",dice(F$2,F$3))</f>
        <v>15</v>
      </c>
    </row>
    <row r="411" spans="2:3" x14ac:dyDescent="0.25">
      <c r="B411" s="29">
        <f t="shared" si="8"/>
        <v>405</v>
      </c>
      <c r="C411" s="35" cm="1">
        <f t="array" aca="1" ref="C411" ca="1">IF(ISNA(B411),"",dice(F$2,F$3))</f>
        <v>12</v>
      </c>
    </row>
    <row r="412" spans="2:3" x14ac:dyDescent="0.25">
      <c r="B412" s="29">
        <f t="shared" si="8"/>
        <v>406</v>
      </c>
      <c r="C412" s="35" cm="1">
        <f t="array" aca="1" ref="C412" ca="1">IF(ISNA(B412),"",dice(F$2,F$3))</f>
        <v>7</v>
      </c>
    </row>
    <row r="413" spans="2:3" x14ac:dyDescent="0.25">
      <c r="B413" s="29">
        <f t="shared" si="8"/>
        <v>407</v>
      </c>
      <c r="C413" s="35" cm="1">
        <f t="array" aca="1" ref="C413" ca="1">IF(ISNA(B413),"",dice(F$2,F$3))</f>
        <v>6</v>
      </c>
    </row>
    <row r="414" spans="2:3" x14ac:dyDescent="0.25">
      <c r="B414" s="29">
        <f t="shared" si="8"/>
        <v>408</v>
      </c>
      <c r="C414" s="35" cm="1">
        <f t="array" aca="1" ref="C414" ca="1">IF(ISNA(B414),"",dice(F$2,F$3))</f>
        <v>13</v>
      </c>
    </row>
    <row r="415" spans="2:3" x14ac:dyDescent="0.25">
      <c r="B415" s="29">
        <f t="shared" si="8"/>
        <v>409</v>
      </c>
      <c r="C415" s="35" cm="1">
        <f t="array" aca="1" ref="C415" ca="1">IF(ISNA(B415),"",dice(F$2,F$3))</f>
        <v>13</v>
      </c>
    </row>
    <row r="416" spans="2:3" x14ac:dyDescent="0.25">
      <c r="B416" s="29">
        <f t="shared" si="8"/>
        <v>410</v>
      </c>
      <c r="C416" s="35" cm="1">
        <f t="array" aca="1" ref="C416" ca="1">IF(ISNA(B416),"",dice(F$2,F$3))</f>
        <v>16</v>
      </c>
    </row>
    <row r="417" spans="2:3" x14ac:dyDescent="0.25">
      <c r="B417" s="29">
        <f t="shared" si="8"/>
        <v>411</v>
      </c>
      <c r="C417" s="35" cm="1">
        <f t="array" aca="1" ref="C417" ca="1">IF(ISNA(B417),"",dice(F$2,F$3))</f>
        <v>11</v>
      </c>
    </row>
    <row r="418" spans="2:3" x14ac:dyDescent="0.25">
      <c r="B418" s="29">
        <f t="shared" si="8"/>
        <v>412</v>
      </c>
      <c r="C418" s="35" cm="1">
        <f t="array" aca="1" ref="C418" ca="1">IF(ISNA(B418),"",dice(F$2,F$3))</f>
        <v>12</v>
      </c>
    </row>
    <row r="419" spans="2:3" x14ac:dyDescent="0.25">
      <c r="B419" s="29">
        <f t="shared" si="8"/>
        <v>413</v>
      </c>
      <c r="C419" s="35" cm="1">
        <f t="array" aca="1" ref="C419" ca="1">IF(ISNA(B419),"",dice(F$2,F$3))</f>
        <v>14</v>
      </c>
    </row>
    <row r="420" spans="2:3" x14ac:dyDescent="0.25">
      <c r="B420" s="29">
        <f t="shared" si="8"/>
        <v>414</v>
      </c>
      <c r="C420" s="35" cm="1">
        <f t="array" aca="1" ref="C420" ca="1">IF(ISNA(B420),"",dice(F$2,F$3))</f>
        <v>9</v>
      </c>
    </row>
    <row r="421" spans="2:3" x14ac:dyDescent="0.25">
      <c r="B421" s="29">
        <f t="shared" si="8"/>
        <v>415</v>
      </c>
      <c r="C421" s="35" cm="1">
        <f t="array" aca="1" ref="C421" ca="1">IF(ISNA(B421),"",dice(F$2,F$3))</f>
        <v>11</v>
      </c>
    </row>
    <row r="422" spans="2:3" x14ac:dyDescent="0.25">
      <c r="B422" s="29">
        <f t="shared" si="8"/>
        <v>416</v>
      </c>
      <c r="C422" s="35" cm="1">
        <f t="array" aca="1" ref="C422" ca="1">IF(ISNA(B422),"",dice(F$2,F$3))</f>
        <v>7</v>
      </c>
    </row>
    <row r="423" spans="2:3" x14ac:dyDescent="0.25">
      <c r="B423" s="29">
        <f t="shared" si="8"/>
        <v>417</v>
      </c>
      <c r="C423" s="35" cm="1">
        <f t="array" aca="1" ref="C423" ca="1">IF(ISNA(B423),"",dice(F$2,F$3))</f>
        <v>12</v>
      </c>
    </row>
    <row r="424" spans="2:3" x14ac:dyDescent="0.25">
      <c r="B424" s="29">
        <f t="shared" si="8"/>
        <v>418</v>
      </c>
      <c r="C424" s="35" cm="1">
        <f t="array" aca="1" ref="C424" ca="1">IF(ISNA(B424),"",dice(F$2,F$3))</f>
        <v>13</v>
      </c>
    </row>
    <row r="425" spans="2:3" x14ac:dyDescent="0.25">
      <c r="B425" s="29">
        <f t="shared" si="8"/>
        <v>419</v>
      </c>
      <c r="C425" s="35" cm="1">
        <f t="array" aca="1" ref="C425" ca="1">IF(ISNA(B425),"",dice(F$2,F$3))</f>
        <v>10</v>
      </c>
    </row>
    <row r="426" spans="2:3" x14ac:dyDescent="0.25">
      <c r="B426" s="29">
        <f t="shared" si="8"/>
        <v>420</v>
      </c>
      <c r="C426" s="35" cm="1">
        <f t="array" aca="1" ref="C426" ca="1">IF(ISNA(B426),"",dice(F$2,F$3))</f>
        <v>13</v>
      </c>
    </row>
    <row r="427" spans="2:3" x14ac:dyDescent="0.25">
      <c r="B427" s="29">
        <f t="shared" si="8"/>
        <v>421</v>
      </c>
      <c r="C427" s="35" cm="1">
        <f t="array" aca="1" ref="C427" ca="1">IF(ISNA(B427),"",dice(F$2,F$3))</f>
        <v>5</v>
      </c>
    </row>
    <row r="428" spans="2:3" x14ac:dyDescent="0.25">
      <c r="B428" s="29">
        <f t="shared" si="8"/>
        <v>422</v>
      </c>
      <c r="C428" s="35" cm="1">
        <f t="array" aca="1" ref="C428" ca="1">IF(ISNA(B428),"",dice(F$2,F$3))</f>
        <v>16</v>
      </c>
    </row>
    <row r="429" spans="2:3" x14ac:dyDescent="0.25">
      <c r="B429" s="29">
        <f t="shared" si="8"/>
        <v>423</v>
      </c>
      <c r="C429" s="35" cm="1">
        <f t="array" aca="1" ref="C429" ca="1">IF(ISNA(B429),"",dice(F$2,F$3))</f>
        <v>13</v>
      </c>
    </row>
    <row r="430" spans="2:3" x14ac:dyDescent="0.25">
      <c r="B430" s="29">
        <f t="shared" si="8"/>
        <v>424</v>
      </c>
      <c r="C430" s="35" cm="1">
        <f t="array" aca="1" ref="C430" ca="1">IF(ISNA(B430),"",dice(F$2,F$3))</f>
        <v>10</v>
      </c>
    </row>
    <row r="431" spans="2:3" x14ac:dyDescent="0.25">
      <c r="B431" s="29">
        <f t="shared" si="8"/>
        <v>425</v>
      </c>
      <c r="C431" s="35" cm="1">
        <f t="array" aca="1" ref="C431" ca="1">IF(ISNA(B431),"",dice(F$2,F$3))</f>
        <v>8</v>
      </c>
    </row>
    <row r="432" spans="2:3" x14ac:dyDescent="0.25">
      <c r="B432" s="29">
        <f t="shared" si="8"/>
        <v>426</v>
      </c>
      <c r="C432" s="35" cm="1">
        <f t="array" aca="1" ref="C432" ca="1">IF(ISNA(B432),"",dice(F$2,F$3))</f>
        <v>7</v>
      </c>
    </row>
    <row r="433" spans="2:3" x14ac:dyDescent="0.25">
      <c r="B433" s="29">
        <f t="shared" si="8"/>
        <v>427</v>
      </c>
      <c r="C433" s="35" cm="1">
        <f t="array" aca="1" ref="C433" ca="1">IF(ISNA(B433),"",dice(F$2,F$3))</f>
        <v>8</v>
      </c>
    </row>
    <row r="434" spans="2:3" x14ac:dyDescent="0.25">
      <c r="B434" s="29">
        <f t="shared" si="8"/>
        <v>428</v>
      </c>
      <c r="C434" s="35" cm="1">
        <f t="array" aca="1" ref="C434" ca="1">IF(ISNA(B434),"",dice(F$2,F$3))</f>
        <v>13</v>
      </c>
    </row>
    <row r="435" spans="2:3" x14ac:dyDescent="0.25">
      <c r="B435" s="29">
        <f t="shared" si="8"/>
        <v>429</v>
      </c>
      <c r="C435" s="35" cm="1">
        <f t="array" aca="1" ref="C435" ca="1">IF(ISNA(B435),"",dice(F$2,F$3))</f>
        <v>10</v>
      </c>
    </row>
    <row r="436" spans="2:3" x14ac:dyDescent="0.25">
      <c r="B436" s="29">
        <f t="shared" si="8"/>
        <v>430</v>
      </c>
      <c r="C436" s="35" cm="1">
        <f t="array" aca="1" ref="C436" ca="1">IF(ISNA(B436),"",dice(F$2,F$3))</f>
        <v>11</v>
      </c>
    </row>
    <row r="437" spans="2:3" x14ac:dyDescent="0.25">
      <c r="B437" s="29">
        <f t="shared" si="8"/>
        <v>431</v>
      </c>
      <c r="C437" s="35" cm="1">
        <f t="array" aca="1" ref="C437" ca="1">IF(ISNA(B437),"",dice(F$2,F$3))</f>
        <v>4</v>
      </c>
    </row>
    <row r="438" spans="2:3" x14ac:dyDescent="0.25">
      <c r="B438" s="29">
        <f t="shared" si="8"/>
        <v>432</v>
      </c>
      <c r="C438" s="35" cm="1">
        <f t="array" aca="1" ref="C438" ca="1">IF(ISNA(B438),"",dice(F$2,F$3))</f>
        <v>12</v>
      </c>
    </row>
    <row r="439" spans="2:3" x14ac:dyDescent="0.25">
      <c r="B439" s="29">
        <f t="shared" si="8"/>
        <v>433</v>
      </c>
      <c r="C439" s="35" cm="1">
        <f t="array" aca="1" ref="C439" ca="1">IF(ISNA(B439),"",dice(F$2,F$3))</f>
        <v>16</v>
      </c>
    </row>
    <row r="440" spans="2:3" x14ac:dyDescent="0.25">
      <c r="B440" s="29">
        <f t="shared" si="8"/>
        <v>434</v>
      </c>
      <c r="C440" s="35" cm="1">
        <f t="array" aca="1" ref="C440" ca="1">IF(ISNA(B440),"",dice(F$2,F$3))</f>
        <v>10</v>
      </c>
    </row>
    <row r="441" spans="2:3" x14ac:dyDescent="0.25">
      <c r="B441" s="29">
        <f t="shared" si="8"/>
        <v>435</v>
      </c>
      <c r="C441" s="35" cm="1">
        <f t="array" aca="1" ref="C441" ca="1">IF(ISNA(B441),"",dice(F$2,F$3))</f>
        <v>12</v>
      </c>
    </row>
    <row r="442" spans="2:3" x14ac:dyDescent="0.25">
      <c r="B442" s="29">
        <f t="shared" si="8"/>
        <v>436</v>
      </c>
      <c r="C442" s="35" cm="1">
        <f t="array" aca="1" ref="C442" ca="1">IF(ISNA(B442),"",dice(F$2,F$3))</f>
        <v>8</v>
      </c>
    </row>
    <row r="443" spans="2:3" x14ac:dyDescent="0.25">
      <c r="B443" s="29">
        <f t="shared" si="8"/>
        <v>437</v>
      </c>
      <c r="C443" s="35" cm="1">
        <f t="array" aca="1" ref="C443" ca="1">IF(ISNA(B443),"",dice(F$2,F$3))</f>
        <v>11</v>
      </c>
    </row>
    <row r="444" spans="2:3" x14ac:dyDescent="0.25">
      <c r="B444" s="29">
        <f t="shared" si="8"/>
        <v>438</v>
      </c>
      <c r="C444" s="35" cm="1">
        <f t="array" aca="1" ref="C444" ca="1">IF(ISNA(B444),"",dice(F$2,F$3))</f>
        <v>9</v>
      </c>
    </row>
    <row r="445" spans="2:3" x14ac:dyDescent="0.25">
      <c r="B445" s="29">
        <f t="shared" si="8"/>
        <v>439</v>
      </c>
      <c r="C445" s="35" cm="1">
        <f t="array" aca="1" ref="C445" ca="1">IF(ISNA(B445),"",dice(F$2,F$3))</f>
        <v>11</v>
      </c>
    </row>
    <row r="446" spans="2:3" x14ac:dyDescent="0.25">
      <c r="B446" s="29">
        <f t="shared" si="8"/>
        <v>440</v>
      </c>
      <c r="C446" s="35" cm="1">
        <f t="array" aca="1" ref="C446" ca="1">IF(ISNA(B446),"",dice(F$2,F$3))</f>
        <v>3</v>
      </c>
    </row>
    <row r="447" spans="2:3" x14ac:dyDescent="0.25">
      <c r="B447" s="29">
        <f t="shared" si="8"/>
        <v>441</v>
      </c>
      <c r="C447" s="35" cm="1">
        <f t="array" aca="1" ref="C447" ca="1">IF(ISNA(B447),"",dice(F$2,F$3))</f>
        <v>6</v>
      </c>
    </row>
    <row r="448" spans="2:3" x14ac:dyDescent="0.25">
      <c r="B448" s="29">
        <f t="shared" si="8"/>
        <v>442</v>
      </c>
      <c r="C448" s="35" cm="1">
        <f t="array" aca="1" ref="C448" ca="1">IF(ISNA(B448),"",dice(F$2,F$3))</f>
        <v>8</v>
      </c>
    </row>
    <row r="449" spans="2:3" x14ac:dyDescent="0.25">
      <c r="B449" s="29">
        <f t="shared" si="8"/>
        <v>443</v>
      </c>
      <c r="C449" s="35" cm="1">
        <f t="array" aca="1" ref="C449" ca="1">IF(ISNA(B449),"",dice(F$2,F$3))</f>
        <v>13</v>
      </c>
    </row>
    <row r="450" spans="2:3" x14ac:dyDescent="0.25">
      <c r="B450" s="29">
        <f t="shared" si="8"/>
        <v>444</v>
      </c>
      <c r="C450" s="35" cm="1">
        <f t="array" aca="1" ref="C450" ca="1">IF(ISNA(B450),"",dice(F$2,F$3))</f>
        <v>11</v>
      </c>
    </row>
    <row r="451" spans="2:3" x14ac:dyDescent="0.25">
      <c r="B451" s="29">
        <f t="shared" si="8"/>
        <v>445</v>
      </c>
      <c r="C451" s="35" cm="1">
        <f t="array" aca="1" ref="C451" ca="1">IF(ISNA(B451),"",dice(F$2,F$3))</f>
        <v>15</v>
      </c>
    </row>
    <row r="452" spans="2:3" x14ac:dyDescent="0.25">
      <c r="B452" s="29">
        <f t="shared" si="8"/>
        <v>446</v>
      </c>
      <c r="C452" s="35" cm="1">
        <f t="array" aca="1" ref="C452" ca="1">IF(ISNA(B452),"",dice(F$2,F$3))</f>
        <v>14</v>
      </c>
    </row>
    <row r="453" spans="2:3" x14ac:dyDescent="0.25">
      <c r="B453" s="29">
        <f t="shared" si="8"/>
        <v>447</v>
      </c>
      <c r="C453" s="35" cm="1">
        <f t="array" aca="1" ref="C453" ca="1">IF(ISNA(B453),"",dice(F$2,F$3))</f>
        <v>12</v>
      </c>
    </row>
    <row r="454" spans="2:3" x14ac:dyDescent="0.25">
      <c r="B454" s="29">
        <f t="shared" si="8"/>
        <v>448</v>
      </c>
      <c r="C454" s="35" cm="1">
        <f t="array" aca="1" ref="C454" ca="1">IF(ISNA(B454),"",dice(F$2,F$3))</f>
        <v>11</v>
      </c>
    </row>
    <row r="455" spans="2:3" x14ac:dyDescent="0.25">
      <c r="B455" s="29">
        <f t="shared" si="8"/>
        <v>449</v>
      </c>
      <c r="C455" s="35" cm="1">
        <f t="array" aca="1" ref="C455" ca="1">IF(ISNA(B455),"",dice(F$2,F$3))</f>
        <v>16</v>
      </c>
    </row>
    <row r="456" spans="2:3" x14ac:dyDescent="0.25">
      <c r="B456" s="29">
        <f t="shared" si="8"/>
        <v>450</v>
      </c>
      <c r="C456" s="35" cm="1">
        <f t="array" aca="1" ref="C456" ca="1">IF(ISNA(B456),"",dice(F$2,F$3))</f>
        <v>10</v>
      </c>
    </row>
    <row r="457" spans="2:3" x14ac:dyDescent="0.25">
      <c r="B457" s="29">
        <f t="shared" ref="B457:B520" si="9">IF(B456&lt;F$4,B456+1,NA())</f>
        <v>451</v>
      </c>
      <c r="C457" s="35" cm="1">
        <f t="array" aca="1" ref="C457" ca="1">IF(ISNA(B457),"",dice(F$2,F$3))</f>
        <v>13</v>
      </c>
    </row>
    <row r="458" spans="2:3" x14ac:dyDescent="0.25">
      <c r="B458" s="29">
        <f t="shared" si="9"/>
        <v>452</v>
      </c>
      <c r="C458" s="35" cm="1">
        <f t="array" aca="1" ref="C458" ca="1">IF(ISNA(B458),"",dice(F$2,F$3))</f>
        <v>13</v>
      </c>
    </row>
    <row r="459" spans="2:3" x14ac:dyDescent="0.25">
      <c r="B459" s="29">
        <f t="shared" si="9"/>
        <v>453</v>
      </c>
      <c r="C459" s="35" cm="1">
        <f t="array" aca="1" ref="C459" ca="1">IF(ISNA(B459),"",dice(F$2,F$3))</f>
        <v>10</v>
      </c>
    </row>
    <row r="460" spans="2:3" x14ac:dyDescent="0.25">
      <c r="B460" s="29">
        <f t="shared" si="9"/>
        <v>454</v>
      </c>
      <c r="C460" s="35" cm="1">
        <f t="array" aca="1" ref="C460" ca="1">IF(ISNA(B460),"",dice(F$2,F$3))</f>
        <v>9</v>
      </c>
    </row>
    <row r="461" spans="2:3" x14ac:dyDescent="0.25">
      <c r="B461" s="29">
        <f t="shared" si="9"/>
        <v>455</v>
      </c>
      <c r="C461" s="35" cm="1">
        <f t="array" aca="1" ref="C461" ca="1">IF(ISNA(B461),"",dice(F$2,F$3))</f>
        <v>13</v>
      </c>
    </row>
    <row r="462" spans="2:3" x14ac:dyDescent="0.25">
      <c r="B462" s="29">
        <f t="shared" si="9"/>
        <v>456</v>
      </c>
      <c r="C462" s="35" cm="1">
        <f t="array" aca="1" ref="C462" ca="1">IF(ISNA(B462),"",dice(F$2,F$3))</f>
        <v>9</v>
      </c>
    </row>
    <row r="463" spans="2:3" x14ac:dyDescent="0.25">
      <c r="B463" s="29">
        <f t="shared" si="9"/>
        <v>457</v>
      </c>
      <c r="C463" s="35" cm="1">
        <f t="array" aca="1" ref="C463" ca="1">IF(ISNA(B463),"",dice(F$2,F$3))</f>
        <v>8</v>
      </c>
    </row>
    <row r="464" spans="2:3" x14ac:dyDescent="0.25">
      <c r="B464" s="29">
        <f t="shared" si="9"/>
        <v>458</v>
      </c>
      <c r="C464" s="35" cm="1">
        <f t="array" aca="1" ref="C464" ca="1">IF(ISNA(B464),"",dice(F$2,F$3))</f>
        <v>11</v>
      </c>
    </row>
    <row r="465" spans="2:3" x14ac:dyDescent="0.25">
      <c r="B465" s="29">
        <f t="shared" si="9"/>
        <v>459</v>
      </c>
      <c r="C465" s="35" cm="1">
        <f t="array" aca="1" ref="C465" ca="1">IF(ISNA(B465),"",dice(F$2,F$3))</f>
        <v>11</v>
      </c>
    </row>
    <row r="466" spans="2:3" x14ac:dyDescent="0.25">
      <c r="B466" s="29">
        <f t="shared" si="9"/>
        <v>460</v>
      </c>
      <c r="C466" s="35" cm="1">
        <f t="array" aca="1" ref="C466" ca="1">IF(ISNA(B466),"",dice(F$2,F$3))</f>
        <v>15</v>
      </c>
    </row>
    <row r="467" spans="2:3" x14ac:dyDescent="0.25">
      <c r="B467" s="29">
        <f t="shared" si="9"/>
        <v>461</v>
      </c>
      <c r="C467" s="35" cm="1">
        <f t="array" aca="1" ref="C467" ca="1">IF(ISNA(B467),"",dice(F$2,F$3))</f>
        <v>14</v>
      </c>
    </row>
    <row r="468" spans="2:3" x14ac:dyDescent="0.25">
      <c r="B468" s="29">
        <f t="shared" si="9"/>
        <v>462</v>
      </c>
      <c r="C468" s="35" cm="1">
        <f t="array" aca="1" ref="C468" ca="1">IF(ISNA(B468),"",dice(F$2,F$3))</f>
        <v>7</v>
      </c>
    </row>
    <row r="469" spans="2:3" x14ac:dyDescent="0.25">
      <c r="B469" s="29">
        <f t="shared" si="9"/>
        <v>463</v>
      </c>
      <c r="C469" s="35" cm="1">
        <f t="array" aca="1" ref="C469" ca="1">IF(ISNA(B469),"",dice(F$2,F$3))</f>
        <v>15</v>
      </c>
    </row>
    <row r="470" spans="2:3" x14ac:dyDescent="0.25">
      <c r="B470" s="29">
        <f t="shared" si="9"/>
        <v>464</v>
      </c>
      <c r="C470" s="35" cm="1">
        <f t="array" aca="1" ref="C470" ca="1">IF(ISNA(B470),"",dice(F$2,F$3))</f>
        <v>12</v>
      </c>
    </row>
    <row r="471" spans="2:3" x14ac:dyDescent="0.25">
      <c r="B471" s="29">
        <f t="shared" si="9"/>
        <v>465</v>
      </c>
      <c r="C471" s="35" cm="1">
        <f t="array" aca="1" ref="C471" ca="1">IF(ISNA(B471),"",dice(F$2,F$3))</f>
        <v>10</v>
      </c>
    </row>
    <row r="472" spans="2:3" x14ac:dyDescent="0.25">
      <c r="B472" s="29">
        <f t="shared" si="9"/>
        <v>466</v>
      </c>
      <c r="C472" s="35" cm="1">
        <f t="array" aca="1" ref="C472" ca="1">IF(ISNA(B472),"",dice(F$2,F$3))</f>
        <v>12</v>
      </c>
    </row>
    <row r="473" spans="2:3" x14ac:dyDescent="0.25">
      <c r="B473" s="29">
        <f t="shared" si="9"/>
        <v>467</v>
      </c>
      <c r="C473" s="35" cm="1">
        <f t="array" aca="1" ref="C473" ca="1">IF(ISNA(B473),"",dice(F$2,F$3))</f>
        <v>11</v>
      </c>
    </row>
    <row r="474" spans="2:3" x14ac:dyDescent="0.25">
      <c r="B474" s="29">
        <f t="shared" si="9"/>
        <v>468</v>
      </c>
      <c r="C474" s="35" cm="1">
        <f t="array" aca="1" ref="C474" ca="1">IF(ISNA(B474),"",dice(F$2,F$3))</f>
        <v>15</v>
      </c>
    </row>
    <row r="475" spans="2:3" x14ac:dyDescent="0.25">
      <c r="B475" s="29">
        <f t="shared" si="9"/>
        <v>469</v>
      </c>
      <c r="C475" s="35" cm="1">
        <f t="array" aca="1" ref="C475" ca="1">IF(ISNA(B475),"",dice(F$2,F$3))</f>
        <v>15</v>
      </c>
    </row>
    <row r="476" spans="2:3" x14ac:dyDescent="0.25">
      <c r="B476" s="29">
        <f t="shared" si="9"/>
        <v>470</v>
      </c>
      <c r="C476" s="35" cm="1">
        <f t="array" aca="1" ref="C476" ca="1">IF(ISNA(B476),"",dice(F$2,F$3))</f>
        <v>15</v>
      </c>
    </row>
    <row r="477" spans="2:3" x14ac:dyDescent="0.25">
      <c r="B477" s="29">
        <f t="shared" si="9"/>
        <v>471</v>
      </c>
      <c r="C477" s="35" cm="1">
        <f t="array" aca="1" ref="C477" ca="1">IF(ISNA(B477),"",dice(F$2,F$3))</f>
        <v>13</v>
      </c>
    </row>
    <row r="478" spans="2:3" x14ac:dyDescent="0.25">
      <c r="B478" s="29">
        <f t="shared" si="9"/>
        <v>472</v>
      </c>
      <c r="C478" s="35" cm="1">
        <f t="array" aca="1" ref="C478" ca="1">IF(ISNA(B478),"",dice(F$2,F$3))</f>
        <v>7</v>
      </c>
    </row>
    <row r="479" spans="2:3" x14ac:dyDescent="0.25">
      <c r="B479" s="29">
        <f t="shared" si="9"/>
        <v>473</v>
      </c>
      <c r="C479" s="35" cm="1">
        <f t="array" aca="1" ref="C479" ca="1">IF(ISNA(B479),"",dice(F$2,F$3))</f>
        <v>13</v>
      </c>
    </row>
    <row r="480" spans="2:3" x14ac:dyDescent="0.25">
      <c r="B480" s="29">
        <f t="shared" si="9"/>
        <v>474</v>
      </c>
      <c r="C480" s="35" cm="1">
        <f t="array" aca="1" ref="C480" ca="1">IF(ISNA(B480),"",dice(F$2,F$3))</f>
        <v>7</v>
      </c>
    </row>
    <row r="481" spans="2:3" x14ac:dyDescent="0.25">
      <c r="B481" s="29">
        <f t="shared" si="9"/>
        <v>475</v>
      </c>
      <c r="C481" s="35" cm="1">
        <f t="array" aca="1" ref="C481" ca="1">IF(ISNA(B481),"",dice(F$2,F$3))</f>
        <v>12</v>
      </c>
    </row>
    <row r="482" spans="2:3" x14ac:dyDescent="0.25">
      <c r="B482" s="29">
        <f t="shared" si="9"/>
        <v>476</v>
      </c>
      <c r="C482" s="35" cm="1">
        <f t="array" aca="1" ref="C482" ca="1">IF(ISNA(B482),"",dice(F$2,F$3))</f>
        <v>10</v>
      </c>
    </row>
    <row r="483" spans="2:3" x14ac:dyDescent="0.25">
      <c r="B483" s="29">
        <f t="shared" si="9"/>
        <v>477</v>
      </c>
      <c r="C483" s="35" cm="1">
        <f t="array" aca="1" ref="C483" ca="1">IF(ISNA(B483),"",dice(F$2,F$3))</f>
        <v>8</v>
      </c>
    </row>
    <row r="484" spans="2:3" x14ac:dyDescent="0.25">
      <c r="B484" s="29">
        <f t="shared" si="9"/>
        <v>478</v>
      </c>
      <c r="C484" s="35" cm="1">
        <f t="array" aca="1" ref="C484" ca="1">IF(ISNA(B484),"",dice(F$2,F$3))</f>
        <v>15</v>
      </c>
    </row>
    <row r="485" spans="2:3" x14ac:dyDescent="0.25">
      <c r="B485" s="29">
        <f t="shared" si="9"/>
        <v>479</v>
      </c>
      <c r="C485" s="35" cm="1">
        <f t="array" aca="1" ref="C485" ca="1">IF(ISNA(B485),"",dice(F$2,F$3))</f>
        <v>9</v>
      </c>
    </row>
    <row r="486" spans="2:3" x14ac:dyDescent="0.25">
      <c r="B486" s="29">
        <f t="shared" si="9"/>
        <v>480</v>
      </c>
      <c r="C486" s="35" cm="1">
        <f t="array" aca="1" ref="C486" ca="1">IF(ISNA(B486),"",dice(F$2,F$3))</f>
        <v>14</v>
      </c>
    </row>
    <row r="487" spans="2:3" x14ac:dyDescent="0.25">
      <c r="B487" s="29">
        <f t="shared" si="9"/>
        <v>481</v>
      </c>
      <c r="C487" s="35" cm="1">
        <f t="array" aca="1" ref="C487" ca="1">IF(ISNA(B487),"",dice(F$2,F$3))</f>
        <v>10</v>
      </c>
    </row>
    <row r="488" spans="2:3" x14ac:dyDescent="0.25">
      <c r="B488" s="29">
        <f t="shared" si="9"/>
        <v>482</v>
      </c>
      <c r="C488" s="35" cm="1">
        <f t="array" aca="1" ref="C488" ca="1">IF(ISNA(B488),"",dice(F$2,F$3))</f>
        <v>10</v>
      </c>
    </row>
    <row r="489" spans="2:3" x14ac:dyDescent="0.25">
      <c r="B489" s="29">
        <f t="shared" si="9"/>
        <v>483</v>
      </c>
      <c r="C489" s="35" cm="1">
        <f t="array" aca="1" ref="C489" ca="1">IF(ISNA(B489),"",dice(F$2,F$3))</f>
        <v>11</v>
      </c>
    </row>
    <row r="490" spans="2:3" x14ac:dyDescent="0.25">
      <c r="B490" s="29">
        <f t="shared" si="9"/>
        <v>484</v>
      </c>
      <c r="C490" s="35" cm="1">
        <f t="array" aca="1" ref="C490" ca="1">IF(ISNA(B490),"",dice(F$2,F$3))</f>
        <v>4</v>
      </c>
    </row>
    <row r="491" spans="2:3" x14ac:dyDescent="0.25">
      <c r="B491" s="29">
        <f t="shared" si="9"/>
        <v>485</v>
      </c>
      <c r="C491" s="35" cm="1">
        <f t="array" aca="1" ref="C491" ca="1">IF(ISNA(B491),"",dice(F$2,F$3))</f>
        <v>14</v>
      </c>
    </row>
    <row r="492" spans="2:3" x14ac:dyDescent="0.25">
      <c r="B492" s="29">
        <f t="shared" si="9"/>
        <v>486</v>
      </c>
      <c r="C492" s="35" cm="1">
        <f t="array" aca="1" ref="C492" ca="1">IF(ISNA(B492),"",dice(F$2,F$3))</f>
        <v>16</v>
      </c>
    </row>
    <row r="493" spans="2:3" x14ac:dyDescent="0.25">
      <c r="B493" s="29">
        <f t="shared" si="9"/>
        <v>487</v>
      </c>
      <c r="C493" s="35" cm="1">
        <f t="array" aca="1" ref="C493" ca="1">IF(ISNA(B493),"",dice(F$2,F$3))</f>
        <v>9</v>
      </c>
    </row>
    <row r="494" spans="2:3" x14ac:dyDescent="0.25">
      <c r="B494" s="29">
        <f t="shared" si="9"/>
        <v>488</v>
      </c>
      <c r="C494" s="35" cm="1">
        <f t="array" aca="1" ref="C494" ca="1">IF(ISNA(B494),"",dice(F$2,F$3))</f>
        <v>7</v>
      </c>
    </row>
    <row r="495" spans="2:3" x14ac:dyDescent="0.25">
      <c r="B495" s="29">
        <f t="shared" si="9"/>
        <v>489</v>
      </c>
      <c r="C495" s="35" cm="1">
        <f t="array" aca="1" ref="C495" ca="1">IF(ISNA(B495),"",dice(F$2,F$3))</f>
        <v>13</v>
      </c>
    </row>
    <row r="496" spans="2:3" x14ac:dyDescent="0.25">
      <c r="B496" s="29">
        <f t="shared" si="9"/>
        <v>490</v>
      </c>
      <c r="C496" s="35" cm="1">
        <f t="array" aca="1" ref="C496" ca="1">IF(ISNA(B496),"",dice(F$2,F$3))</f>
        <v>8</v>
      </c>
    </row>
    <row r="497" spans="2:3" x14ac:dyDescent="0.25">
      <c r="B497" s="29">
        <f t="shared" si="9"/>
        <v>491</v>
      </c>
      <c r="C497" s="35" cm="1">
        <f t="array" aca="1" ref="C497" ca="1">IF(ISNA(B497),"",dice(F$2,F$3))</f>
        <v>12</v>
      </c>
    </row>
    <row r="498" spans="2:3" x14ac:dyDescent="0.25">
      <c r="B498" s="29">
        <f t="shared" si="9"/>
        <v>492</v>
      </c>
      <c r="C498" s="35" cm="1">
        <f t="array" aca="1" ref="C498" ca="1">IF(ISNA(B498),"",dice(F$2,F$3))</f>
        <v>11</v>
      </c>
    </row>
    <row r="499" spans="2:3" x14ac:dyDescent="0.25">
      <c r="B499" s="29">
        <f t="shared" si="9"/>
        <v>493</v>
      </c>
      <c r="C499" s="35" cm="1">
        <f t="array" aca="1" ref="C499" ca="1">IF(ISNA(B499),"",dice(F$2,F$3))</f>
        <v>12</v>
      </c>
    </row>
    <row r="500" spans="2:3" x14ac:dyDescent="0.25">
      <c r="B500" s="29">
        <f t="shared" si="9"/>
        <v>494</v>
      </c>
      <c r="C500" s="35" cm="1">
        <f t="array" aca="1" ref="C500" ca="1">IF(ISNA(B500),"",dice(F$2,F$3))</f>
        <v>12</v>
      </c>
    </row>
    <row r="501" spans="2:3" x14ac:dyDescent="0.25">
      <c r="B501" s="29">
        <f t="shared" si="9"/>
        <v>495</v>
      </c>
      <c r="C501" s="35" cm="1">
        <f t="array" aca="1" ref="C501" ca="1">IF(ISNA(B501),"",dice(F$2,F$3))</f>
        <v>10</v>
      </c>
    </row>
    <row r="502" spans="2:3" x14ac:dyDescent="0.25">
      <c r="B502" s="29">
        <f t="shared" si="9"/>
        <v>496</v>
      </c>
      <c r="C502" s="35" cm="1">
        <f t="array" aca="1" ref="C502" ca="1">IF(ISNA(B502),"",dice(F$2,F$3))</f>
        <v>9</v>
      </c>
    </row>
    <row r="503" spans="2:3" x14ac:dyDescent="0.25">
      <c r="B503" s="29">
        <f t="shared" si="9"/>
        <v>497</v>
      </c>
      <c r="C503" s="35" cm="1">
        <f t="array" aca="1" ref="C503" ca="1">IF(ISNA(B503),"",dice(F$2,F$3))</f>
        <v>13</v>
      </c>
    </row>
    <row r="504" spans="2:3" x14ac:dyDescent="0.25">
      <c r="B504" s="29">
        <f t="shared" si="9"/>
        <v>498</v>
      </c>
      <c r="C504" s="35" cm="1">
        <f t="array" aca="1" ref="C504" ca="1">IF(ISNA(B504),"",dice(F$2,F$3))</f>
        <v>10</v>
      </c>
    </row>
    <row r="505" spans="2:3" x14ac:dyDescent="0.25">
      <c r="B505" s="29">
        <f t="shared" si="9"/>
        <v>499</v>
      </c>
      <c r="C505" s="35" cm="1">
        <f t="array" aca="1" ref="C505" ca="1">IF(ISNA(B505),"",dice(F$2,F$3))</f>
        <v>12</v>
      </c>
    </row>
    <row r="506" spans="2:3" x14ac:dyDescent="0.25">
      <c r="B506" s="29">
        <f t="shared" si="9"/>
        <v>500</v>
      </c>
      <c r="C506" s="35" cm="1">
        <f t="array" aca="1" ref="C506" ca="1">IF(ISNA(B506),"",dice(F$2,F$3))</f>
        <v>15</v>
      </c>
    </row>
    <row r="507" spans="2:3" x14ac:dyDescent="0.25">
      <c r="B507" s="29">
        <f t="shared" si="9"/>
        <v>501</v>
      </c>
      <c r="C507" s="35" cm="1">
        <f t="array" aca="1" ref="C507" ca="1">IF(ISNA(B507),"",dice(F$2,F$3))</f>
        <v>11</v>
      </c>
    </row>
    <row r="508" spans="2:3" x14ac:dyDescent="0.25">
      <c r="B508" s="29">
        <f t="shared" si="9"/>
        <v>502</v>
      </c>
      <c r="C508" s="35" cm="1">
        <f t="array" aca="1" ref="C508" ca="1">IF(ISNA(B508),"",dice(F$2,F$3))</f>
        <v>12</v>
      </c>
    </row>
    <row r="509" spans="2:3" x14ac:dyDescent="0.25">
      <c r="B509" s="29">
        <f t="shared" si="9"/>
        <v>503</v>
      </c>
      <c r="C509" s="35" cm="1">
        <f t="array" aca="1" ref="C509" ca="1">IF(ISNA(B509),"",dice(F$2,F$3))</f>
        <v>16</v>
      </c>
    </row>
    <row r="510" spans="2:3" x14ac:dyDescent="0.25">
      <c r="B510" s="29">
        <f t="shared" si="9"/>
        <v>504</v>
      </c>
      <c r="C510" s="35" cm="1">
        <f t="array" aca="1" ref="C510" ca="1">IF(ISNA(B510),"",dice(F$2,F$3))</f>
        <v>10</v>
      </c>
    </row>
    <row r="511" spans="2:3" x14ac:dyDescent="0.25">
      <c r="B511" s="29">
        <f t="shared" si="9"/>
        <v>505</v>
      </c>
      <c r="C511" s="35" cm="1">
        <f t="array" aca="1" ref="C511" ca="1">IF(ISNA(B511),"",dice(F$2,F$3))</f>
        <v>13</v>
      </c>
    </row>
    <row r="512" spans="2:3" x14ac:dyDescent="0.25">
      <c r="B512" s="29">
        <f t="shared" si="9"/>
        <v>506</v>
      </c>
      <c r="C512" s="35" cm="1">
        <f t="array" aca="1" ref="C512" ca="1">IF(ISNA(B512),"",dice(F$2,F$3))</f>
        <v>12</v>
      </c>
    </row>
    <row r="513" spans="2:3" x14ac:dyDescent="0.25">
      <c r="B513" s="29">
        <f t="shared" si="9"/>
        <v>507</v>
      </c>
      <c r="C513" s="35" cm="1">
        <f t="array" aca="1" ref="C513" ca="1">IF(ISNA(B513),"",dice(F$2,F$3))</f>
        <v>12</v>
      </c>
    </row>
    <row r="514" spans="2:3" x14ac:dyDescent="0.25">
      <c r="B514" s="29">
        <f t="shared" si="9"/>
        <v>508</v>
      </c>
      <c r="C514" s="35" cm="1">
        <f t="array" aca="1" ref="C514" ca="1">IF(ISNA(B514),"",dice(F$2,F$3))</f>
        <v>16</v>
      </c>
    </row>
    <row r="515" spans="2:3" x14ac:dyDescent="0.25">
      <c r="B515" s="29">
        <f t="shared" si="9"/>
        <v>509</v>
      </c>
      <c r="C515" s="35" cm="1">
        <f t="array" aca="1" ref="C515" ca="1">IF(ISNA(B515),"",dice(F$2,F$3))</f>
        <v>13</v>
      </c>
    </row>
    <row r="516" spans="2:3" x14ac:dyDescent="0.25">
      <c r="B516" s="29">
        <f t="shared" si="9"/>
        <v>510</v>
      </c>
      <c r="C516" s="35" cm="1">
        <f t="array" aca="1" ref="C516" ca="1">IF(ISNA(B516),"",dice(F$2,F$3))</f>
        <v>8</v>
      </c>
    </row>
    <row r="517" spans="2:3" x14ac:dyDescent="0.25">
      <c r="B517" s="29">
        <f t="shared" si="9"/>
        <v>511</v>
      </c>
      <c r="C517" s="35" cm="1">
        <f t="array" aca="1" ref="C517" ca="1">IF(ISNA(B517),"",dice(F$2,F$3))</f>
        <v>10</v>
      </c>
    </row>
    <row r="518" spans="2:3" x14ac:dyDescent="0.25">
      <c r="B518" s="29">
        <f t="shared" si="9"/>
        <v>512</v>
      </c>
      <c r="C518" s="35" cm="1">
        <f t="array" aca="1" ref="C518" ca="1">IF(ISNA(B518),"",dice(F$2,F$3))</f>
        <v>13</v>
      </c>
    </row>
    <row r="519" spans="2:3" x14ac:dyDescent="0.25">
      <c r="B519" s="29">
        <f t="shared" si="9"/>
        <v>513</v>
      </c>
      <c r="C519" s="35" cm="1">
        <f t="array" aca="1" ref="C519" ca="1">IF(ISNA(B519),"",dice(F$2,F$3))</f>
        <v>10</v>
      </c>
    </row>
    <row r="520" spans="2:3" x14ac:dyDescent="0.25">
      <c r="B520" s="29">
        <f t="shared" si="9"/>
        <v>514</v>
      </c>
      <c r="C520" s="35" cm="1">
        <f t="array" aca="1" ref="C520" ca="1">IF(ISNA(B520),"",dice(F$2,F$3))</f>
        <v>10</v>
      </c>
    </row>
    <row r="521" spans="2:3" x14ac:dyDescent="0.25">
      <c r="B521" s="29">
        <f t="shared" ref="B521:B584" si="10">IF(B520&lt;F$4,B520+1,NA())</f>
        <v>515</v>
      </c>
      <c r="C521" s="35" cm="1">
        <f t="array" aca="1" ref="C521" ca="1">IF(ISNA(B521),"",dice(F$2,F$3))</f>
        <v>15</v>
      </c>
    </row>
    <row r="522" spans="2:3" x14ac:dyDescent="0.25">
      <c r="B522" s="29">
        <f t="shared" si="10"/>
        <v>516</v>
      </c>
      <c r="C522" s="35" cm="1">
        <f t="array" aca="1" ref="C522" ca="1">IF(ISNA(B522),"",dice(F$2,F$3))</f>
        <v>14</v>
      </c>
    </row>
    <row r="523" spans="2:3" x14ac:dyDescent="0.25">
      <c r="B523" s="29">
        <f t="shared" si="10"/>
        <v>517</v>
      </c>
      <c r="C523" s="35" cm="1">
        <f t="array" aca="1" ref="C523" ca="1">IF(ISNA(B523),"",dice(F$2,F$3))</f>
        <v>11</v>
      </c>
    </row>
    <row r="524" spans="2:3" x14ac:dyDescent="0.25">
      <c r="B524" s="29">
        <f t="shared" si="10"/>
        <v>518</v>
      </c>
      <c r="C524" s="35" cm="1">
        <f t="array" aca="1" ref="C524" ca="1">IF(ISNA(B524),"",dice(F$2,F$3))</f>
        <v>9</v>
      </c>
    </row>
    <row r="525" spans="2:3" x14ac:dyDescent="0.25">
      <c r="B525" s="29">
        <f t="shared" si="10"/>
        <v>519</v>
      </c>
      <c r="C525" s="35" cm="1">
        <f t="array" aca="1" ref="C525" ca="1">IF(ISNA(B525),"",dice(F$2,F$3))</f>
        <v>13</v>
      </c>
    </row>
    <row r="526" spans="2:3" x14ac:dyDescent="0.25">
      <c r="B526" s="29">
        <f t="shared" si="10"/>
        <v>520</v>
      </c>
      <c r="C526" s="35" cm="1">
        <f t="array" aca="1" ref="C526" ca="1">IF(ISNA(B526),"",dice(F$2,F$3))</f>
        <v>13</v>
      </c>
    </row>
    <row r="527" spans="2:3" x14ac:dyDescent="0.25">
      <c r="B527" s="29">
        <f t="shared" si="10"/>
        <v>521</v>
      </c>
      <c r="C527" s="35" cm="1">
        <f t="array" aca="1" ref="C527" ca="1">IF(ISNA(B527),"",dice(F$2,F$3))</f>
        <v>11</v>
      </c>
    </row>
    <row r="528" spans="2:3" x14ac:dyDescent="0.25">
      <c r="B528" s="29">
        <f t="shared" si="10"/>
        <v>522</v>
      </c>
      <c r="C528" s="35" cm="1">
        <f t="array" aca="1" ref="C528" ca="1">IF(ISNA(B528),"",dice(F$2,F$3))</f>
        <v>9</v>
      </c>
    </row>
    <row r="529" spans="2:3" x14ac:dyDescent="0.25">
      <c r="B529" s="29">
        <f t="shared" si="10"/>
        <v>523</v>
      </c>
      <c r="C529" s="35" cm="1">
        <f t="array" aca="1" ref="C529" ca="1">IF(ISNA(B529),"",dice(F$2,F$3))</f>
        <v>10</v>
      </c>
    </row>
    <row r="530" spans="2:3" x14ac:dyDescent="0.25">
      <c r="B530" s="29">
        <f t="shared" si="10"/>
        <v>524</v>
      </c>
      <c r="C530" s="35" cm="1">
        <f t="array" aca="1" ref="C530" ca="1">IF(ISNA(B530),"",dice(F$2,F$3))</f>
        <v>7</v>
      </c>
    </row>
    <row r="531" spans="2:3" x14ac:dyDescent="0.25">
      <c r="B531" s="29">
        <f t="shared" si="10"/>
        <v>525</v>
      </c>
      <c r="C531" s="35" cm="1">
        <f t="array" aca="1" ref="C531" ca="1">IF(ISNA(B531),"",dice(F$2,F$3))</f>
        <v>12</v>
      </c>
    </row>
    <row r="532" spans="2:3" x14ac:dyDescent="0.25">
      <c r="B532" s="29">
        <f t="shared" si="10"/>
        <v>526</v>
      </c>
      <c r="C532" s="35" cm="1">
        <f t="array" aca="1" ref="C532" ca="1">IF(ISNA(B532),"",dice(F$2,F$3))</f>
        <v>12</v>
      </c>
    </row>
    <row r="533" spans="2:3" x14ac:dyDescent="0.25">
      <c r="B533" s="29">
        <f t="shared" si="10"/>
        <v>527</v>
      </c>
      <c r="C533" s="35" cm="1">
        <f t="array" aca="1" ref="C533" ca="1">IF(ISNA(B533),"",dice(F$2,F$3))</f>
        <v>11</v>
      </c>
    </row>
    <row r="534" spans="2:3" x14ac:dyDescent="0.25">
      <c r="B534" s="29">
        <f t="shared" si="10"/>
        <v>528</v>
      </c>
      <c r="C534" s="35" cm="1">
        <f t="array" aca="1" ref="C534" ca="1">IF(ISNA(B534),"",dice(F$2,F$3))</f>
        <v>12</v>
      </c>
    </row>
    <row r="535" spans="2:3" x14ac:dyDescent="0.25">
      <c r="B535" s="29">
        <f t="shared" si="10"/>
        <v>529</v>
      </c>
      <c r="C535" s="35" cm="1">
        <f t="array" aca="1" ref="C535" ca="1">IF(ISNA(B535),"",dice(F$2,F$3))</f>
        <v>11</v>
      </c>
    </row>
    <row r="536" spans="2:3" x14ac:dyDescent="0.25">
      <c r="B536" s="29">
        <f t="shared" si="10"/>
        <v>530</v>
      </c>
      <c r="C536" s="35" cm="1">
        <f t="array" aca="1" ref="C536" ca="1">IF(ISNA(B536),"",dice(F$2,F$3))</f>
        <v>15</v>
      </c>
    </row>
    <row r="537" spans="2:3" x14ac:dyDescent="0.25">
      <c r="B537" s="29">
        <f t="shared" si="10"/>
        <v>531</v>
      </c>
      <c r="C537" s="35" cm="1">
        <f t="array" aca="1" ref="C537" ca="1">IF(ISNA(B537),"",dice(F$2,F$3))</f>
        <v>12</v>
      </c>
    </row>
    <row r="538" spans="2:3" x14ac:dyDescent="0.25">
      <c r="B538" s="29">
        <f t="shared" si="10"/>
        <v>532</v>
      </c>
      <c r="C538" s="35" cm="1">
        <f t="array" aca="1" ref="C538" ca="1">IF(ISNA(B538),"",dice(F$2,F$3))</f>
        <v>13</v>
      </c>
    </row>
    <row r="539" spans="2:3" x14ac:dyDescent="0.25">
      <c r="B539" s="29">
        <f t="shared" si="10"/>
        <v>533</v>
      </c>
      <c r="C539" s="35" cm="1">
        <f t="array" aca="1" ref="C539" ca="1">IF(ISNA(B539),"",dice(F$2,F$3))</f>
        <v>7</v>
      </c>
    </row>
    <row r="540" spans="2:3" x14ac:dyDescent="0.25">
      <c r="B540" s="29">
        <f t="shared" si="10"/>
        <v>534</v>
      </c>
      <c r="C540" s="35" cm="1">
        <f t="array" aca="1" ref="C540" ca="1">IF(ISNA(B540),"",dice(F$2,F$3))</f>
        <v>16</v>
      </c>
    </row>
    <row r="541" spans="2:3" x14ac:dyDescent="0.25">
      <c r="B541" s="29">
        <f t="shared" si="10"/>
        <v>535</v>
      </c>
      <c r="C541" s="35" cm="1">
        <f t="array" aca="1" ref="C541" ca="1">IF(ISNA(B541),"",dice(F$2,F$3))</f>
        <v>10</v>
      </c>
    </row>
    <row r="542" spans="2:3" x14ac:dyDescent="0.25">
      <c r="B542" s="29">
        <f t="shared" si="10"/>
        <v>536</v>
      </c>
      <c r="C542" s="35" cm="1">
        <f t="array" aca="1" ref="C542" ca="1">IF(ISNA(B542),"",dice(F$2,F$3))</f>
        <v>10</v>
      </c>
    </row>
    <row r="543" spans="2:3" x14ac:dyDescent="0.25">
      <c r="B543" s="29">
        <f t="shared" si="10"/>
        <v>537</v>
      </c>
      <c r="C543" s="35" cm="1">
        <f t="array" aca="1" ref="C543" ca="1">IF(ISNA(B543),"",dice(F$2,F$3))</f>
        <v>9</v>
      </c>
    </row>
    <row r="544" spans="2:3" x14ac:dyDescent="0.25">
      <c r="B544" s="29">
        <f t="shared" si="10"/>
        <v>538</v>
      </c>
      <c r="C544" s="35" cm="1">
        <f t="array" aca="1" ref="C544" ca="1">IF(ISNA(B544),"",dice(F$2,F$3))</f>
        <v>8</v>
      </c>
    </row>
    <row r="545" spans="2:3" x14ac:dyDescent="0.25">
      <c r="B545" s="29">
        <f t="shared" si="10"/>
        <v>539</v>
      </c>
      <c r="C545" s="35" cm="1">
        <f t="array" aca="1" ref="C545" ca="1">IF(ISNA(B545),"",dice(F$2,F$3))</f>
        <v>11</v>
      </c>
    </row>
    <row r="546" spans="2:3" x14ac:dyDescent="0.25">
      <c r="B546" s="29">
        <f t="shared" si="10"/>
        <v>540</v>
      </c>
      <c r="C546" s="35" cm="1">
        <f t="array" aca="1" ref="C546" ca="1">IF(ISNA(B546),"",dice(F$2,F$3))</f>
        <v>6</v>
      </c>
    </row>
    <row r="547" spans="2:3" x14ac:dyDescent="0.25">
      <c r="B547" s="29">
        <f t="shared" si="10"/>
        <v>541</v>
      </c>
      <c r="C547" s="35" cm="1">
        <f t="array" aca="1" ref="C547" ca="1">IF(ISNA(B547),"",dice(F$2,F$3))</f>
        <v>15</v>
      </c>
    </row>
    <row r="548" spans="2:3" x14ac:dyDescent="0.25">
      <c r="B548" s="29">
        <f t="shared" si="10"/>
        <v>542</v>
      </c>
      <c r="C548" s="35" cm="1">
        <f t="array" aca="1" ref="C548" ca="1">IF(ISNA(B548),"",dice(F$2,F$3))</f>
        <v>7</v>
      </c>
    </row>
    <row r="549" spans="2:3" x14ac:dyDescent="0.25">
      <c r="B549" s="29">
        <f t="shared" si="10"/>
        <v>543</v>
      </c>
      <c r="C549" s="35" cm="1">
        <f t="array" aca="1" ref="C549" ca="1">IF(ISNA(B549),"",dice(F$2,F$3))</f>
        <v>13</v>
      </c>
    </row>
    <row r="550" spans="2:3" x14ac:dyDescent="0.25">
      <c r="B550" s="29">
        <f t="shared" si="10"/>
        <v>544</v>
      </c>
      <c r="C550" s="35" cm="1">
        <f t="array" aca="1" ref="C550" ca="1">IF(ISNA(B550),"",dice(F$2,F$3))</f>
        <v>10</v>
      </c>
    </row>
    <row r="551" spans="2:3" x14ac:dyDescent="0.25">
      <c r="B551" s="29">
        <f t="shared" si="10"/>
        <v>545</v>
      </c>
      <c r="C551" s="35" cm="1">
        <f t="array" aca="1" ref="C551" ca="1">IF(ISNA(B551),"",dice(F$2,F$3))</f>
        <v>9</v>
      </c>
    </row>
    <row r="552" spans="2:3" x14ac:dyDescent="0.25">
      <c r="B552" s="29">
        <f t="shared" si="10"/>
        <v>546</v>
      </c>
      <c r="C552" s="35" cm="1">
        <f t="array" aca="1" ref="C552" ca="1">IF(ISNA(B552),"",dice(F$2,F$3))</f>
        <v>12</v>
      </c>
    </row>
    <row r="553" spans="2:3" x14ac:dyDescent="0.25">
      <c r="B553" s="29">
        <f t="shared" si="10"/>
        <v>547</v>
      </c>
      <c r="C553" s="35" cm="1">
        <f t="array" aca="1" ref="C553" ca="1">IF(ISNA(B553),"",dice(F$2,F$3))</f>
        <v>11</v>
      </c>
    </row>
    <row r="554" spans="2:3" x14ac:dyDescent="0.25">
      <c r="B554" s="29">
        <f t="shared" si="10"/>
        <v>548</v>
      </c>
      <c r="C554" s="35" cm="1">
        <f t="array" aca="1" ref="C554" ca="1">IF(ISNA(B554),"",dice(F$2,F$3))</f>
        <v>9</v>
      </c>
    </row>
    <row r="555" spans="2:3" x14ac:dyDescent="0.25">
      <c r="B555" s="29">
        <f t="shared" si="10"/>
        <v>549</v>
      </c>
      <c r="C555" s="35" cm="1">
        <f t="array" aca="1" ref="C555" ca="1">IF(ISNA(B555),"",dice(F$2,F$3))</f>
        <v>11</v>
      </c>
    </row>
    <row r="556" spans="2:3" x14ac:dyDescent="0.25">
      <c r="B556" s="29">
        <f t="shared" si="10"/>
        <v>550</v>
      </c>
      <c r="C556" s="35" cm="1">
        <f t="array" aca="1" ref="C556" ca="1">IF(ISNA(B556),"",dice(F$2,F$3))</f>
        <v>10</v>
      </c>
    </row>
    <row r="557" spans="2:3" x14ac:dyDescent="0.25">
      <c r="B557" s="29">
        <f t="shared" si="10"/>
        <v>551</v>
      </c>
      <c r="C557" s="35" cm="1">
        <f t="array" aca="1" ref="C557" ca="1">IF(ISNA(B557),"",dice(F$2,F$3))</f>
        <v>14</v>
      </c>
    </row>
    <row r="558" spans="2:3" x14ac:dyDescent="0.25">
      <c r="B558" s="29">
        <f t="shared" si="10"/>
        <v>552</v>
      </c>
      <c r="C558" s="35" cm="1">
        <f t="array" aca="1" ref="C558" ca="1">IF(ISNA(B558),"",dice(F$2,F$3))</f>
        <v>12</v>
      </c>
    </row>
    <row r="559" spans="2:3" x14ac:dyDescent="0.25">
      <c r="B559" s="29">
        <f t="shared" si="10"/>
        <v>553</v>
      </c>
      <c r="C559" s="35" cm="1">
        <f t="array" aca="1" ref="C559" ca="1">IF(ISNA(B559),"",dice(F$2,F$3))</f>
        <v>11</v>
      </c>
    </row>
    <row r="560" spans="2:3" x14ac:dyDescent="0.25">
      <c r="B560" s="29">
        <f t="shared" si="10"/>
        <v>554</v>
      </c>
      <c r="C560" s="35" cm="1">
        <f t="array" aca="1" ref="C560" ca="1">IF(ISNA(B560),"",dice(F$2,F$3))</f>
        <v>12</v>
      </c>
    </row>
    <row r="561" spans="2:3" x14ac:dyDescent="0.25">
      <c r="B561" s="29">
        <f t="shared" si="10"/>
        <v>555</v>
      </c>
      <c r="C561" s="35" cm="1">
        <f t="array" aca="1" ref="C561" ca="1">IF(ISNA(B561),"",dice(F$2,F$3))</f>
        <v>14</v>
      </c>
    </row>
    <row r="562" spans="2:3" x14ac:dyDescent="0.25">
      <c r="B562" s="29">
        <f t="shared" si="10"/>
        <v>556</v>
      </c>
      <c r="C562" s="35" cm="1">
        <f t="array" aca="1" ref="C562" ca="1">IF(ISNA(B562),"",dice(F$2,F$3))</f>
        <v>8</v>
      </c>
    </row>
    <row r="563" spans="2:3" x14ac:dyDescent="0.25">
      <c r="B563" s="29">
        <f t="shared" si="10"/>
        <v>557</v>
      </c>
      <c r="C563" s="35" cm="1">
        <f t="array" aca="1" ref="C563" ca="1">IF(ISNA(B563),"",dice(F$2,F$3))</f>
        <v>5</v>
      </c>
    </row>
    <row r="564" spans="2:3" x14ac:dyDescent="0.25">
      <c r="B564" s="29">
        <f t="shared" si="10"/>
        <v>558</v>
      </c>
      <c r="C564" s="35" cm="1">
        <f t="array" aca="1" ref="C564" ca="1">IF(ISNA(B564),"",dice(F$2,F$3))</f>
        <v>9</v>
      </c>
    </row>
    <row r="565" spans="2:3" x14ac:dyDescent="0.25">
      <c r="B565" s="29">
        <f t="shared" si="10"/>
        <v>559</v>
      </c>
      <c r="C565" s="35" cm="1">
        <f t="array" aca="1" ref="C565" ca="1">IF(ISNA(B565),"",dice(F$2,F$3))</f>
        <v>12</v>
      </c>
    </row>
    <row r="566" spans="2:3" x14ac:dyDescent="0.25">
      <c r="B566" s="29">
        <f t="shared" si="10"/>
        <v>560</v>
      </c>
      <c r="C566" s="35" cm="1">
        <f t="array" aca="1" ref="C566" ca="1">IF(ISNA(B566),"",dice(F$2,F$3))</f>
        <v>14</v>
      </c>
    </row>
    <row r="567" spans="2:3" x14ac:dyDescent="0.25">
      <c r="B567" s="29">
        <f t="shared" si="10"/>
        <v>561</v>
      </c>
      <c r="C567" s="35" cm="1">
        <f t="array" aca="1" ref="C567" ca="1">IF(ISNA(B567),"",dice(F$2,F$3))</f>
        <v>8</v>
      </c>
    </row>
    <row r="568" spans="2:3" x14ac:dyDescent="0.25">
      <c r="B568" s="29">
        <f t="shared" si="10"/>
        <v>562</v>
      </c>
      <c r="C568" s="35" cm="1">
        <f t="array" aca="1" ref="C568" ca="1">IF(ISNA(B568),"",dice(F$2,F$3))</f>
        <v>5</v>
      </c>
    </row>
    <row r="569" spans="2:3" x14ac:dyDescent="0.25">
      <c r="B569" s="29">
        <f t="shared" si="10"/>
        <v>563</v>
      </c>
      <c r="C569" s="35" cm="1">
        <f t="array" aca="1" ref="C569" ca="1">IF(ISNA(B569),"",dice(F$2,F$3))</f>
        <v>14</v>
      </c>
    </row>
    <row r="570" spans="2:3" x14ac:dyDescent="0.25">
      <c r="B570" s="29">
        <f t="shared" si="10"/>
        <v>564</v>
      </c>
      <c r="C570" s="35" cm="1">
        <f t="array" aca="1" ref="C570" ca="1">IF(ISNA(B570),"",dice(F$2,F$3))</f>
        <v>11</v>
      </c>
    </row>
    <row r="571" spans="2:3" x14ac:dyDescent="0.25">
      <c r="B571" s="29">
        <f t="shared" si="10"/>
        <v>565</v>
      </c>
      <c r="C571" s="35" cm="1">
        <f t="array" aca="1" ref="C571" ca="1">IF(ISNA(B571),"",dice(F$2,F$3))</f>
        <v>13</v>
      </c>
    </row>
    <row r="572" spans="2:3" x14ac:dyDescent="0.25">
      <c r="B572" s="29">
        <f t="shared" si="10"/>
        <v>566</v>
      </c>
      <c r="C572" s="35" cm="1">
        <f t="array" aca="1" ref="C572" ca="1">IF(ISNA(B572),"",dice(F$2,F$3))</f>
        <v>11</v>
      </c>
    </row>
    <row r="573" spans="2:3" x14ac:dyDescent="0.25">
      <c r="B573" s="29">
        <f t="shared" si="10"/>
        <v>567</v>
      </c>
      <c r="C573" s="35" cm="1">
        <f t="array" aca="1" ref="C573" ca="1">IF(ISNA(B573),"",dice(F$2,F$3))</f>
        <v>13</v>
      </c>
    </row>
    <row r="574" spans="2:3" x14ac:dyDescent="0.25">
      <c r="B574" s="29">
        <f t="shared" si="10"/>
        <v>568</v>
      </c>
      <c r="C574" s="35" cm="1">
        <f t="array" aca="1" ref="C574" ca="1">IF(ISNA(B574),"",dice(F$2,F$3))</f>
        <v>11</v>
      </c>
    </row>
    <row r="575" spans="2:3" x14ac:dyDescent="0.25">
      <c r="B575" s="29">
        <f t="shared" si="10"/>
        <v>569</v>
      </c>
      <c r="C575" s="35" cm="1">
        <f t="array" aca="1" ref="C575" ca="1">IF(ISNA(B575),"",dice(F$2,F$3))</f>
        <v>17</v>
      </c>
    </row>
    <row r="576" spans="2:3" x14ac:dyDescent="0.25">
      <c r="B576" s="29">
        <f t="shared" si="10"/>
        <v>570</v>
      </c>
      <c r="C576" s="35" cm="1">
        <f t="array" aca="1" ref="C576" ca="1">IF(ISNA(B576),"",dice(F$2,F$3))</f>
        <v>8</v>
      </c>
    </row>
    <row r="577" spans="2:3" x14ac:dyDescent="0.25">
      <c r="B577" s="29">
        <f t="shared" si="10"/>
        <v>571</v>
      </c>
      <c r="C577" s="35" cm="1">
        <f t="array" aca="1" ref="C577" ca="1">IF(ISNA(B577),"",dice(F$2,F$3))</f>
        <v>10</v>
      </c>
    </row>
    <row r="578" spans="2:3" x14ac:dyDescent="0.25">
      <c r="B578" s="29">
        <f t="shared" si="10"/>
        <v>572</v>
      </c>
      <c r="C578" s="35" cm="1">
        <f t="array" aca="1" ref="C578" ca="1">IF(ISNA(B578),"",dice(F$2,F$3))</f>
        <v>8</v>
      </c>
    </row>
    <row r="579" spans="2:3" x14ac:dyDescent="0.25">
      <c r="B579" s="29">
        <f t="shared" si="10"/>
        <v>573</v>
      </c>
      <c r="C579" s="35" cm="1">
        <f t="array" aca="1" ref="C579" ca="1">IF(ISNA(B579),"",dice(F$2,F$3))</f>
        <v>13</v>
      </c>
    </row>
    <row r="580" spans="2:3" x14ac:dyDescent="0.25">
      <c r="B580" s="29">
        <f t="shared" si="10"/>
        <v>574</v>
      </c>
      <c r="C580" s="35" cm="1">
        <f t="array" aca="1" ref="C580" ca="1">IF(ISNA(B580),"",dice(F$2,F$3))</f>
        <v>10</v>
      </c>
    </row>
    <row r="581" spans="2:3" x14ac:dyDescent="0.25">
      <c r="B581" s="29">
        <f t="shared" si="10"/>
        <v>575</v>
      </c>
      <c r="C581" s="35" cm="1">
        <f t="array" aca="1" ref="C581" ca="1">IF(ISNA(B581),"",dice(F$2,F$3))</f>
        <v>8</v>
      </c>
    </row>
    <row r="582" spans="2:3" x14ac:dyDescent="0.25">
      <c r="B582" s="29">
        <f t="shared" si="10"/>
        <v>576</v>
      </c>
      <c r="C582" s="35" cm="1">
        <f t="array" aca="1" ref="C582" ca="1">IF(ISNA(B582),"",dice(F$2,F$3))</f>
        <v>12</v>
      </c>
    </row>
    <row r="583" spans="2:3" x14ac:dyDescent="0.25">
      <c r="B583" s="29">
        <f t="shared" si="10"/>
        <v>577</v>
      </c>
      <c r="C583" s="35" cm="1">
        <f t="array" aca="1" ref="C583" ca="1">IF(ISNA(B583),"",dice(F$2,F$3))</f>
        <v>17</v>
      </c>
    </row>
    <row r="584" spans="2:3" x14ac:dyDescent="0.25">
      <c r="B584" s="29">
        <f t="shared" si="10"/>
        <v>578</v>
      </c>
      <c r="C584" s="35" cm="1">
        <f t="array" aca="1" ref="C584" ca="1">IF(ISNA(B584),"",dice(F$2,F$3))</f>
        <v>6</v>
      </c>
    </row>
    <row r="585" spans="2:3" x14ac:dyDescent="0.25">
      <c r="B585" s="29">
        <f t="shared" ref="B585:B648" si="11">IF(B584&lt;F$4,B584+1,NA())</f>
        <v>579</v>
      </c>
      <c r="C585" s="35" cm="1">
        <f t="array" aca="1" ref="C585" ca="1">IF(ISNA(B585),"",dice(F$2,F$3))</f>
        <v>10</v>
      </c>
    </row>
    <row r="586" spans="2:3" x14ac:dyDescent="0.25">
      <c r="B586" s="29">
        <f t="shared" si="11"/>
        <v>580</v>
      </c>
      <c r="C586" s="35" cm="1">
        <f t="array" aca="1" ref="C586" ca="1">IF(ISNA(B586),"",dice(F$2,F$3))</f>
        <v>8</v>
      </c>
    </row>
    <row r="587" spans="2:3" x14ac:dyDescent="0.25">
      <c r="B587" s="29">
        <f t="shared" si="11"/>
        <v>581</v>
      </c>
      <c r="C587" s="35" cm="1">
        <f t="array" aca="1" ref="C587" ca="1">IF(ISNA(B587),"",dice(F$2,F$3))</f>
        <v>14</v>
      </c>
    </row>
    <row r="588" spans="2:3" x14ac:dyDescent="0.25">
      <c r="B588" s="29">
        <f t="shared" si="11"/>
        <v>582</v>
      </c>
      <c r="C588" s="35" cm="1">
        <f t="array" aca="1" ref="C588" ca="1">IF(ISNA(B588),"",dice(F$2,F$3))</f>
        <v>12</v>
      </c>
    </row>
    <row r="589" spans="2:3" x14ac:dyDescent="0.25">
      <c r="B589" s="29">
        <f t="shared" si="11"/>
        <v>583</v>
      </c>
      <c r="C589" s="35" cm="1">
        <f t="array" aca="1" ref="C589" ca="1">IF(ISNA(B589),"",dice(F$2,F$3))</f>
        <v>10</v>
      </c>
    </row>
    <row r="590" spans="2:3" x14ac:dyDescent="0.25">
      <c r="B590" s="29">
        <f t="shared" si="11"/>
        <v>584</v>
      </c>
      <c r="C590" s="35" cm="1">
        <f t="array" aca="1" ref="C590" ca="1">IF(ISNA(B590),"",dice(F$2,F$3))</f>
        <v>12</v>
      </c>
    </row>
    <row r="591" spans="2:3" x14ac:dyDescent="0.25">
      <c r="B591" s="29">
        <f t="shared" si="11"/>
        <v>585</v>
      </c>
      <c r="C591" s="35" cm="1">
        <f t="array" aca="1" ref="C591" ca="1">IF(ISNA(B591),"",dice(F$2,F$3))</f>
        <v>11</v>
      </c>
    </row>
    <row r="592" spans="2:3" x14ac:dyDescent="0.25">
      <c r="B592" s="29">
        <f t="shared" si="11"/>
        <v>586</v>
      </c>
      <c r="C592" s="35" cm="1">
        <f t="array" aca="1" ref="C592" ca="1">IF(ISNA(B592),"",dice(F$2,F$3))</f>
        <v>7</v>
      </c>
    </row>
    <row r="593" spans="2:3" x14ac:dyDescent="0.25">
      <c r="B593" s="29">
        <f t="shared" si="11"/>
        <v>587</v>
      </c>
      <c r="C593" s="35" cm="1">
        <f t="array" aca="1" ref="C593" ca="1">IF(ISNA(B593),"",dice(F$2,F$3))</f>
        <v>12</v>
      </c>
    </row>
    <row r="594" spans="2:3" x14ac:dyDescent="0.25">
      <c r="B594" s="29">
        <f t="shared" si="11"/>
        <v>588</v>
      </c>
      <c r="C594" s="35" cm="1">
        <f t="array" aca="1" ref="C594" ca="1">IF(ISNA(B594),"",dice(F$2,F$3))</f>
        <v>10</v>
      </c>
    </row>
    <row r="595" spans="2:3" x14ac:dyDescent="0.25">
      <c r="B595" s="29">
        <f t="shared" si="11"/>
        <v>589</v>
      </c>
      <c r="C595" s="35" cm="1">
        <f t="array" aca="1" ref="C595" ca="1">IF(ISNA(B595),"",dice(F$2,F$3))</f>
        <v>7</v>
      </c>
    </row>
    <row r="596" spans="2:3" x14ac:dyDescent="0.25">
      <c r="B596" s="29">
        <f t="shared" si="11"/>
        <v>590</v>
      </c>
      <c r="C596" s="35" cm="1">
        <f t="array" aca="1" ref="C596" ca="1">IF(ISNA(B596),"",dice(F$2,F$3))</f>
        <v>17</v>
      </c>
    </row>
    <row r="597" spans="2:3" x14ac:dyDescent="0.25">
      <c r="B597" s="29">
        <f t="shared" si="11"/>
        <v>591</v>
      </c>
      <c r="C597" s="35" cm="1">
        <f t="array" aca="1" ref="C597" ca="1">IF(ISNA(B597),"",dice(F$2,F$3))</f>
        <v>8</v>
      </c>
    </row>
    <row r="598" spans="2:3" x14ac:dyDescent="0.25">
      <c r="B598" s="29">
        <f t="shared" si="11"/>
        <v>592</v>
      </c>
      <c r="C598" s="35" cm="1">
        <f t="array" aca="1" ref="C598" ca="1">IF(ISNA(B598),"",dice(F$2,F$3))</f>
        <v>9</v>
      </c>
    </row>
    <row r="599" spans="2:3" x14ac:dyDescent="0.25">
      <c r="B599" s="29">
        <f t="shared" si="11"/>
        <v>593</v>
      </c>
      <c r="C599" s="35" cm="1">
        <f t="array" aca="1" ref="C599" ca="1">IF(ISNA(B599),"",dice(F$2,F$3))</f>
        <v>13</v>
      </c>
    </row>
    <row r="600" spans="2:3" x14ac:dyDescent="0.25">
      <c r="B600" s="29">
        <f t="shared" si="11"/>
        <v>594</v>
      </c>
      <c r="C600" s="35" cm="1">
        <f t="array" aca="1" ref="C600" ca="1">IF(ISNA(B600),"",dice(F$2,F$3))</f>
        <v>12</v>
      </c>
    </row>
    <row r="601" spans="2:3" x14ac:dyDescent="0.25">
      <c r="B601" s="29">
        <f t="shared" si="11"/>
        <v>595</v>
      </c>
      <c r="C601" s="35" cm="1">
        <f t="array" aca="1" ref="C601" ca="1">IF(ISNA(B601),"",dice(F$2,F$3))</f>
        <v>12</v>
      </c>
    </row>
    <row r="602" spans="2:3" x14ac:dyDescent="0.25">
      <c r="B602" s="29">
        <f t="shared" si="11"/>
        <v>596</v>
      </c>
      <c r="C602" s="35" cm="1">
        <f t="array" aca="1" ref="C602" ca="1">IF(ISNA(B602),"",dice(F$2,F$3))</f>
        <v>12</v>
      </c>
    </row>
    <row r="603" spans="2:3" x14ac:dyDescent="0.25">
      <c r="B603" s="29">
        <f t="shared" si="11"/>
        <v>597</v>
      </c>
      <c r="C603" s="35" cm="1">
        <f t="array" aca="1" ref="C603" ca="1">IF(ISNA(B603),"",dice(F$2,F$3))</f>
        <v>5</v>
      </c>
    </row>
    <row r="604" spans="2:3" x14ac:dyDescent="0.25">
      <c r="B604" s="29">
        <f t="shared" si="11"/>
        <v>598</v>
      </c>
      <c r="C604" s="35" cm="1">
        <f t="array" aca="1" ref="C604" ca="1">IF(ISNA(B604),"",dice(F$2,F$3))</f>
        <v>11</v>
      </c>
    </row>
    <row r="605" spans="2:3" x14ac:dyDescent="0.25">
      <c r="B605" s="29">
        <f t="shared" si="11"/>
        <v>599</v>
      </c>
      <c r="C605" s="35" cm="1">
        <f t="array" aca="1" ref="C605" ca="1">IF(ISNA(B605),"",dice(F$2,F$3))</f>
        <v>6</v>
      </c>
    </row>
    <row r="606" spans="2:3" x14ac:dyDescent="0.25">
      <c r="B606" s="29">
        <f t="shared" si="11"/>
        <v>600</v>
      </c>
      <c r="C606" s="35" cm="1">
        <f t="array" aca="1" ref="C606" ca="1">IF(ISNA(B606),"",dice(F$2,F$3))</f>
        <v>11</v>
      </c>
    </row>
    <row r="607" spans="2:3" x14ac:dyDescent="0.25">
      <c r="B607" s="29">
        <f t="shared" si="11"/>
        <v>601</v>
      </c>
      <c r="C607" s="35" cm="1">
        <f t="array" aca="1" ref="C607" ca="1">IF(ISNA(B607),"",dice(F$2,F$3))</f>
        <v>8</v>
      </c>
    </row>
    <row r="608" spans="2:3" x14ac:dyDescent="0.25">
      <c r="B608" s="29">
        <f t="shared" si="11"/>
        <v>602</v>
      </c>
      <c r="C608" s="35" cm="1">
        <f t="array" aca="1" ref="C608" ca="1">IF(ISNA(B608),"",dice(F$2,F$3))</f>
        <v>10</v>
      </c>
    </row>
    <row r="609" spans="2:3" x14ac:dyDescent="0.25">
      <c r="B609" s="29">
        <f t="shared" si="11"/>
        <v>603</v>
      </c>
      <c r="C609" s="35" cm="1">
        <f t="array" aca="1" ref="C609" ca="1">IF(ISNA(B609),"",dice(F$2,F$3))</f>
        <v>10</v>
      </c>
    </row>
    <row r="610" spans="2:3" x14ac:dyDescent="0.25">
      <c r="B610" s="29">
        <f t="shared" si="11"/>
        <v>604</v>
      </c>
      <c r="C610" s="35" cm="1">
        <f t="array" aca="1" ref="C610" ca="1">IF(ISNA(B610),"",dice(F$2,F$3))</f>
        <v>7</v>
      </c>
    </row>
    <row r="611" spans="2:3" x14ac:dyDescent="0.25">
      <c r="B611" s="29">
        <f t="shared" si="11"/>
        <v>605</v>
      </c>
      <c r="C611" s="35" cm="1">
        <f t="array" aca="1" ref="C611" ca="1">IF(ISNA(B611),"",dice(F$2,F$3))</f>
        <v>11</v>
      </c>
    </row>
    <row r="612" spans="2:3" x14ac:dyDescent="0.25">
      <c r="B612" s="29">
        <f t="shared" si="11"/>
        <v>606</v>
      </c>
      <c r="C612" s="35" cm="1">
        <f t="array" aca="1" ref="C612" ca="1">IF(ISNA(B612),"",dice(F$2,F$3))</f>
        <v>12</v>
      </c>
    </row>
    <row r="613" spans="2:3" x14ac:dyDescent="0.25">
      <c r="B613" s="29">
        <f t="shared" si="11"/>
        <v>607</v>
      </c>
      <c r="C613" s="35" cm="1">
        <f t="array" aca="1" ref="C613" ca="1">IF(ISNA(B613),"",dice(F$2,F$3))</f>
        <v>14</v>
      </c>
    </row>
    <row r="614" spans="2:3" x14ac:dyDescent="0.25">
      <c r="B614" s="29">
        <f t="shared" si="11"/>
        <v>608</v>
      </c>
      <c r="C614" s="35" cm="1">
        <f t="array" aca="1" ref="C614" ca="1">IF(ISNA(B614),"",dice(F$2,F$3))</f>
        <v>13</v>
      </c>
    </row>
    <row r="615" spans="2:3" x14ac:dyDescent="0.25">
      <c r="B615" s="29">
        <f t="shared" si="11"/>
        <v>609</v>
      </c>
      <c r="C615" s="35" cm="1">
        <f t="array" aca="1" ref="C615" ca="1">IF(ISNA(B615),"",dice(F$2,F$3))</f>
        <v>12</v>
      </c>
    </row>
    <row r="616" spans="2:3" x14ac:dyDescent="0.25">
      <c r="B616" s="29">
        <f t="shared" si="11"/>
        <v>610</v>
      </c>
      <c r="C616" s="35" cm="1">
        <f t="array" aca="1" ref="C616" ca="1">IF(ISNA(B616),"",dice(F$2,F$3))</f>
        <v>5</v>
      </c>
    </row>
    <row r="617" spans="2:3" x14ac:dyDescent="0.25">
      <c r="B617" s="29">
        <f t="shared" si="11"/>
        <v>611</v>
      </c>
      <c r="C617" s="35" cm="1">
        <f t="array" aca="1" ref="C617" ca="1">IF(ISNA(B617),"",dice(F$2,F$3))</f>
        <v>18</v>
      </c>
    </row>
    <row r="618" spans="2:3" x14ac:dyDescent="0.25">
      <c r="B618" s="29">
        <f t="shared" si="11"/>
        <v>612</v>
      </c>
      <c r="C618" s="35" cm="1">
        <f t="array" aca="1" ref="C618" ca="1">IF(ISNA(B618),"",dice(F$2,F$3))</f>
        <v>11</v>
      </c>
    </row>
    <row r="619" spans="2:3" x14ac:dyDescent="0.25">
      <c r="B619" s="29">
        <f t="shared" si="11"/>
        <v>613</v>
      </c>
      <c r="C619" s="35" cm="1">
        <f t="array" aca="1" ref="C619" ca="1">IF(ISNA(B619),"",dice(F$2,F$3))</f>
        <v>13</v>
      </c>
    </row>
    <row r="620" spans="2:3" x14ac:dyDescent="0.25">
      <c r="B620" s="29">
        <f t="shared" si="11"/>
        <v>614</v>
      </c>
      <c r="C620" s="35" cm="1">
        <f t="array" aca="1" ref="C620" ca="1">IF(ISNA(B620),"",dice(F$2,F$3))</f>
        <v>10</v>
      </c>
    </row>
    <row r="621" spans="2:3" x14ac:dyDescent="0.25">
      <c r="B621" s="29">
        <f t="shared" si="11"/>
        <v>615</v>
      </c>
      <c r="C621" s="35" cm="1">
        <f t="array" aca="1" ref="C621" ca="1">IF(ISNA(B621),"",dice(F$2,F$3))</f>
        <v>11</v>
      </c>
    </row>
    <row r="622" spans="2:3" x14ac:dyDescent="0.25">
      <c r="B622" s="29">
        <f t="shared" si="11"/>
        <v>616</v>
      </c>
      <c r="C622" s="35" cm="1">
        <f t="array" aca="1" ref="C622" ca="1">IF(ISNA(B622),"",dice(F$2,F$3))</f>
        <v>14</v>
      </c>
    </row>
    <row r="623" spans="2:3" x14ac:dyDescent="0.25">
      <c r="B623" s="29">
        <f t="shared" si="11"/>
        <v>617</v>
      </c>
      <c r="C623" s="35" cm="1">
        <f t="array" aca="1" ref="C623" ca="1">IF(ISNA(B623),"",dice(F$2,F$3))</f>
        <v>14</v>
      </c>
    </row>
    <row r="624" spans="2:3" x14ac:dyDescent="0.25">
      <c r="B624" s="29">
        <f t="shared" si="11"/>
        <v>618</v>
      </c>
      <c r="C624" s="35" cm="1">
        <f t="array" aca="1" ref="C624" ca="1">IF(ISNA(B624),"",dice(F$2,F$3))</f>
        <v>11</v>
      </c>
    </row>
    <row r="625" spans="2:3" x14ac:dyDescent="0.25">
      <c r="B625" s="29">
        <f t="shared" si="11"/>
        <v>619</v>
      </c>
      <c r="C625" s="35" cm="1">
        <f t="array" aca="1" ref="C625" ca="1">IF(ISNA(B625),"",dice(F$2,F$3))</f>
        <v>10</v>
      </c>
    </row>
    <row r="626" spans="2:3" x14ac:dyDescent="0.25">
      <c r="B626" s="29">
        <f t="shared" si="11"/>
        <v>620</v>
      </c>
      <c r="C626" s="35" cm="1">
        <f t="array" aca="1" ref="C626" ca="1">IF(ISNA(B626),"",dice(F$2,F$3))</f>
        <v>9</v>
      </c>
    </row>
    <row r="627" spans="2:3" x14ac:dyDescent="0.25">
      <c r="B627" s="29">
        <f t="shared" si="11"/>
        <v>621</v>
      </c>
      <c r="C627" s="35" cm="1">
        <f t="array" aca="1" ref="C627" ca="1">IF(ISNA(B627),"",dice(F$2,F$3))</f>
        <v>11</v>
      </c>
    </row>
    <row r="628" spans="2:3" x14ac:dyDescent="0.25">
      <c r="B628" s="29">
        <f t="shared" si="11"/>
        <v>622</v>
      </c>
      <c r="C628" s="35" cm="1">
        <f t="array" aca="1" ref="C628" ca="1">IF(ISNA(B628),"",dice(F$2,F$3))</f>
        <v>11</v>
      </c>
    </row>
    <row r="629" spans="2:3" x14ac:dyDescent="0.25">
      <c r="B629" s="29">
        <f t="shared" si="11"/>
        <v>623</v>
      </c>
      <c r="C629" s="35" cm="1">
        <f t="array" aca="1" ref="C629" ca="1">IF(ISNA(B629),"",dice(F$2,F$3))</f>
        <v>8</v>
      </c>
    </row>
    <row r="630" spans="2:3" x14ac:dyDescent="0.25">
      <c r="B630" s="29">
        <f t="shared" si="11"/>
        <v>624</v>
      </c>
      <c r="C630" s="35" cm="1">
        <f t="array" aca="1" ref="C630" ca="1">IF(ISNA(B630),"",dice(F$2,F$3))</f>
        <v>15</v>
      </c>
    </row>
    <row r="631" spans="2:3" x14ac:dyDescent="0.25">
      <c r="B631" s="29">
        <f t="shared" si="11"/>
        <v>625</v>
      </c>
      <c r="C631" s="35" cm="1">
        <f t="array" aca="1" ref="C631" ca="1">IF(ISNA(B631),"",dice(F$2,F$3))</f>
        <v>4</v>
      </c>
    </row>
    <row r="632" spans="2:3" x14ac:dyDescent="0.25">
      <c r="B632" s="29">
        <f t="shared" si="11"/>
        <v>626</v>
      </c>
      <c r="C632" s="35" cm="1">
        <f t="array" aca="1" ref="C632" ca="1">IF(ISNA(B632),"",dice(F$2,F$3))</f>
        <v>13</v>
      </c>
    </row>
    <row r="633" spans="2:3" x14ac:dyDescent="0.25">
      <c r="B633" s="29">
        <f t="shared" si="11"/>
        <v>627</v>
      </c>
      <c r="C633" s="35" cm="1">
        <f t="array" aca="1" ref="C633" ca="1">IF(ISNA(B633),"",dice(F$2,F$3))</f>
        <v>7</v>
      </c>
    </row>
    <row r="634" spans="2:3" x14ac:dyDescent="0.25">
      <c r="B634" s="29">
        <f t="shared" si="11"/>
        <v>628</v>
      </c>
      <c r="C634" s="35" cm="1">
        <f t="array" aca="1" ref="C634" ca="1">IF(ISNA(B634),"",dice(F$2,F$3))</f>
        <v>4</v>
      </c>
    </row>
    <row r="635" spans="2:3" x14ac:dyDescent="0.25">
      <c r="B635" s="29">
        <f t="shared" si="11"/>
        <v>629</v>
      </c>
      <c r="C635" s="35" cm="1">
        <f t="array" aca="1" ref="C635" ca="1">IF(ISNA(B635),"",dice(F$2,F$3))</f>
        <v>11</v>
      </c>
    </row>
    <row r="636" spans="2:3" x14ac:dyDescent="0.25">
      <c r="B636" s="29">
        <f t="shared" si="11"/>
        <v>630</v>
      </c>
      <c r="C636" s="35" cm="1">
        <f t="array" aca="1" ref="C636" ca="1">IF(ISNA(B636),"",dice(F$2,F$3))</f>
        <v>7</v>
      </c>
    </row>
    <row r="637" spans="2:3" x14ac:dyDescent="0.25">
      <c r="B637" s="29">
        <f t="shared" si="11"/>
        <v>631</v>
      </c>
      <c r="C637" s="35" cm="1">
        <f t="array" aca="1" ref="C637" ca="1">IF(ISNA(B637),"",dice(F$2,F$3))</f>
        <v>11</v>
      </c>
    </row>
    <row r="638" spans="2:3" x14ac:dyDescent="0.25">
      <c r="B638" s="29">
        <f t="shared" si="11"/>
        <v>632</v>
      </c>
      <c r="C638" s="35" cm="1">
        <f t="array" aca="1" ref="C638" ca="1">IF(ISNA(B638),"",dice(F$2,F$3))</f>
        <v>11</v>
      </c>
    </row>
    <row r="639" spans="2:3" x14ac:dyDescent="0.25">
      <c r="B639" s="29">
        <f t="shared" si="11"/>
        <v>633</v>
      </c>
      <c r="C639" s="35" cm="1">
        <f t="array" aca="1" ref="C639" ca="1">IF(ISNA(B639),"",dice(F$2,F$3))</f>
        <v>12</v>
      </c>
    </row>
    <row r="640" spans="2:3" x14ac:dyDescent="0.25">
      <c r="B640" s="29">
        <f t="shared" si="11"/>
        <v>634</v>
      </c>
      <c r="C640" s="35" cm="1">
        <f t="array" aca="1" ref="C640" ca="1">IF(ISNA(B640),"",dice(F$2,F$3))</f>
        <v>12</v>
      </c>
    </row>
    <row r="641" spans="2:3" x14ac:dyDescent="0.25">
      <c r="B641" s="29">
        <f t="shared" si="11"/>
        <v>635</v>
      </c>
      <c r="C641" s="35" cm="1">
        <f t="array" aca="1" ref="C641" ca="1">IF(ISNA(B641),"",dice(F$2,F$3))</f>
        <v>9</v>
      </c>
    </row>
    <row r="642" spans="2:3" x14ac:dyDescent="0.25">
      <c r="B642" s="29">
        <f t="shared" si="11"/>
        <v>636</v>
      </c>
      <c r="C642" s="35" cm="1">
        <f t="array" aca="1" ref="C642" ca="1">IF(ISNA(B642),"",dice(F$2,F$3))</f>
        <v>9</v>
      </c>
    </row>
    <row r="643" spans="2:3" x14ac:dyDescent="0.25">
      <c r="B643" s="29">
        <f t="shared" si="11"/>
        <v>637</v>
      </c>
      <c r="C643" s="35" cm="1">
        <f t="array" aca="1" ref="C643" ca="1">IF(ISNA(B643),"",dice(F$2,F$3))</f>
        <v>6</v>
      </c>
    </row>
    <row r="644" spans="2:3" x14ac:dyDescent="0.25">
      <c r="B644" s="29">
        <f t="shared" si="11"/>
        <v>638</v>
      </c>
      <c r="C644" s="35" cm="1">
        <f t="array" aca="1" ref="C644" ca="1">IF(ISNA(B644),"",dice(F$2,F$3))</f>
        <v>13</v>
      </c>
    </row>
    <row r="645" spans="2:3" x14ac:dyDescent="0.25">
      <c r="B645" s="29">
        <f t="shared" si="11"/>
        <v>639</v>
      </c>
      <c r="C645" s="35" cm="1">
        <f t="array" aca="1" ref="C645" ca="1">IF(ISNA(B645),"",dice(F$2,F$3))</f>
        <v>11</v>
      </c>
    </row>
    <row r="646" spans="2:3" x14ac:dyDescent="0.25">
      <c r="B646" s="29">
        <f t="shared" si="11"/>
        <v>640</v>
      </c>
      <c r="C646" s="35" cm="1">
        <f t="array" aca="1" ref="C646" ca="1">IF(ISNA(B646),"",dice(F$2,F$3))</f>
        <v>9</v>
      </c>
    </row>
    <row r="647" spans="2:3" x14ac:dyDescent="0.25">
      <c r="B647" s="29">
        <f t="shared" si="11"/>
        <v>641</v>
      </c>
      <c r="C647" s="35" cm="1">
        <f t="array" aca="1" ref="C647" ca="1">IF(ISNA(B647),"",dice(F$2,F$3))</f>
        <v>13</v>
      </c>
    </row>
    <row r="648" spans="2:3" x14ac:dyDescent="0.25">
      <c r="B648" s="29">
        <f t="shared" si="11"/>
        <v>642</v>
      </c>
      <c r="C648" s="35" cm="1">
        <f t="array" aca="1" ref="C648" ca="1">IF(ISNA(B648),"",dice(F$2,F$3))</f>
        <v>18</v>
      </c>
    </row>
    <row r="649" spans="2:3" x14ac:dyDescent="0.25">
      <c r="B649" s="29">
        <f t="shared" ref="B649:B712" si="12">IF(B648&lt;F$4,B648+1,NA())</f>
        <v>643</v>
      </c>
      <c r="C649" s="35" cm="1">
        <f t="array" aca="1" ref="C649" ca="1">IF(ISNA(B649),"",dice(F$2,F$3))</f>
        <v>5</v>
      </c>
    </row>
    <row r="650" spans="2:3" x14ac:dyDescent="0.25">
      <c r="B650" s="29">
        <f t="shared" si="12"/>
        <v>644</v>
      </c>
      <c r="C650" s="35" cm="1">
        <f t="array" aca="1" ref="C650" ca="1">IF(ISNA(B650),"",dice(F$2,F$3))</f>
        <v>9</v>
      </c>
    </row>
    <row r="651" spans="2:3" x14ac:dyDescent="0.25">
      <c r="B651" s="29">
        <f t="shared" si="12"/>
        <v>645</v>
      </c>
      <c r="C651" s="35" cm="1">
        <f t="array" aca="1" ref="C651" ca="1">IF(ISNA(B651),"",dice(F$2,F$3))</f>
        <v>15</v>
      </c>
    </row>
    <row r="652" spans="2:3" x14ac:dyDescent="0.25">
      <c r="B652" s="29">
        <f t="shared" si="12"/>
        <v>646</v>
      </c>
      <c r="C652" s="35" cm="1">
        <f t="array" aca="1" ref="C652" ca="1">IF(ISNA(B652),"",dice(F$2,F$3))</f>
        <v>17</v>
      </c>
    </row>
    <row r="653" spans="2:3" x14ac:dyDescent="0.25">
      <c r="B653" s="29">
        <f t="shared" si="12"/>
        <v>647</v>
      </c>
      <c r="C653" s="35" cm="1">
        <f t="array" aca="1" ref="C653" ca="1">IF(ISNA(B653),"",dice(F$2,F$3))</f>
        <v>10</v>
      </c>
    </row>
    <row r="654" spans="2:3" x14ac:dyDescent="0.25">
      <c r="B654" s="29">
        <f t="shared" si="12"/>
        <v>648</v>
      </c>
      <c r="C654" s="35" cm="1">
        <f t="array" aca="1" ref="C654" ca="1">IF(ISNA(B654),"",dice(F$2,F$3))</f>
        <v>12</v>
      </c>
    </row>
    <row r="655" spans="2:3" x14ac:dyDescent="0.25">
      <c r="B655" s="29">
        <f t="shared" si="12"/>
        <v>649</v>
      </c>
      <c r="C655" s="35" cm="1">
        <f t="array" aca="1" ref="C655" ca="1">IF(ISNA(B655),"",dice(F$2,F$3))</f>
        <v>12</v>
      </c>
    </row>
    <row r="656" spans="2:3" x14ac:dyDescent="0.25">
      <c r="B656" s="29">
        <f t="shared" si="12"/>
        <v>650</v>
      </c>
      <c r="C656" s="35" cm="1">
        <f t="array" aca="1" ref="C656" ca="1">IF(ISNA(B656),"",dice(F$2,F$3))</f>
        <v>10</v>
      </c>
    </row>
    <row r="657" spans="2:3" x14ac:dyDescent="0.25">
      <c r="B657" s="29">
        <f t="shared" si="12"/>
        <v>651</v>
      </c>
      <c r="C657" s="35" cm="1">
        <f t="array" aca="1" ref="C657" ca="1">IF(ISNA(B657),"",dice(F$2,F$3))</f>
        <v>13</v>
      </c>
    </row>
    <row r="658" spans="2:3" x14ac:dyDescent="0.25">
      <c r="B658" s="29">
        <f t="shared" si="12"/>
        <v>652</v>
      </c>
      <c r="C658" s="35" cm="1">
        <f t="array" aca="1" ref="C658" ca="1">IF(ISNA(B658),"",dice(F$2,F$3))</f>
        <v>15</v>
      </c>
    </row>
    <row r="659" spans="2:3" x14ac:dyDescent="0.25">
      <c r="B659" s="29">
        <f t="shared" si="12"/>
        <v>653</v>
      </c>
      <c r="C659" s="35" cm="1">
        <f t="array" aca="1" ref="C659" ca="1">IF(ISNA(B659),"",dice(F$2,F$3))</f>
        <v>7</v>
      </c>
    </row>
    <row r="660" spans="2:3" x14ac:dyDescent="0.25">
      <c r="B660" s="29">
        <f t="shared" si="12"/>
        <v>654</v>
      </c>
      <c r="C660" s="35" cm="1">
        <f t="array" aca="1" ref="C660" ca="1">IF(ISNA(B660),"",dice(F$2,F$3))</f>
        <v>4</v>
      </c>
    </row>
    <row r="661" spans="2:3" x14ac:dyDescent="0.25">
      <c r="B661" s="29">
        <f t="shared" si="12"/>
        <v>655</v>
      </c>
      <c r="C661" s="35" cm="1">
        <f t="array" aca="1" ref="C661" ca="1">IF(ISNA(B661),"",dice(F$2,F$3))</f>
        <v>10</v>
      </c>
    </row>
    <row r="662" spans="2:3" x14ac:dyDescent="0.25">
      <c r="B662" s="29">
        <f t="shared" si="12"/>
        <v>656</v>
      </c>
      <c r="C662" s="35" cm="1">
        <f t="array" aca="1" ref="C662" ca="1">IF(ISNA(B662),"",dice(F$2,F$3))</f>
        <v>15</v>
      </c>
    </row>
    <row r="663" spans="2:3" x14ac:dyDescent="0.25">
      <c r="B663" s="29">
        <f t="shared" si="12"/>
        <v>657</v>
      </c>
      <c r="C663" s="35" cm="1">
        <f t="array" aca="1" ref="C663" ca="1">IF(ISNA(B663),"",dice(F$2,F$3))</f>
        <v>12</v>
      </c>
    </row>
    <row r="664" spans="2:3" x14ac:dyDescent="0.25">
      <c r="B664" s="29">
        <f t="shared" si="12"/>
        <v>658</v>
      </c>
      <c r="C664" s="35" cm="1">
        <f t="array" aca="1" ref="C664" ca="1">IF(ISNA(B664),"",dice(F$2,F$3))</f>
        <v>14</v>
      </c>
    </row>
    <row r="665" spans="2:3" x14ac:dyDescent="0.25">
      <c r="B665" s="29">
        <f t="shared" si="12"/>
        <v>659</v>
      </c>
      <c r="C665" s="35" cm="1">
        <f t="array" aca="1" ref="C665" ca="1">IF(ISNA(B665),"",dice(F$2,F$3))</f>
        <v>10</v>
      </c>
    </row>
    <row r="666" spans="2:3" x14ac:dyDescent="0.25">
      <c r="B666" s="29">
        <f t="shared" si="12"/>
        <v>660</v>
      </c>
      <c r="C666" s="35" cm="1">
        <f t="array" aca="1" ref="C666" ca="1">IF(ISNA(B666),"",dice(F$2,F$3))</f>
        <v>17</v>
      </c>
    </row>
    <row r="667" spans="2:3" x14ac:dyDescent="0.25">
      <c r="B667" s="29">
        <f t="shared" si="12"/>
        <v>661</v>
      </c>
      <c r="C667" s="35" cm="1">
        <f t="array" aca="1" ref="C667" ca="1">IF(ISNA(B667),"",dice(F$2,F$3))</f>
        <v>9</v>
      </c>
    </row>
    <row r="668" spans="2:3" x14ac:dyDescent="0.25">
      <c r="B668" s="29">
        <f t="shared" si="12"/>
        <v>662</v>
      </c>
      <c r="C668" s="35" cm="1">
        <f t="array" aca="1" ref="C668" ca="1">IF(ISNA(B668),"",dice(F$2,F$3))</f>
        <v>12</v>
      </c>
    </row>
    <row r="669" spans="2:3" x14ac:dyDescent="0.25">
      <c r="B669" s="29">
        <f t="shared" si="12"/>
        <v>663</v>
      </c>
      <c r="C669" s="35" cm="1">
        <f t="array" aca="1" ref="C669" ca="1">IF(ISNA(B669),"",dice(F$2,F$3))</f>
        <v>13</v>
      </c>
    </row>
    <row r="670" spans="2:3" x14ac:dyDescent="0.25">
      <c r="B670" s="29">
        <f t="shared" si="12"/>
        <v>664</v>
      </c>
      <c r="C670" s="35" cm="1">
        <f t="array" aca="1" ref="C670" ca="1">IF(ISNA(B670),"",dice(F$2,F$3))</f>
        <v>12</v>
      </c>
    </row>
    <row r="671" spans="2:3" x14ac:dyDescent="0.25">
      <c r="B671" s="29">
        <f t="shared" si="12"/>
        <v>665</v>
      </c>
      <c r="C671" s="35" cm="1">
        <f t="array" aca="1" ref="C671" ca="1">IF(ISNA(B671),"",dice(F$2,F$3))</f>
        <v>12</v>
      </c>
    </row>
    <row r="672" spans="2:3" x14ac:dyDescent="0.25">
      <c r="B672" s="29">
        <f t="shared" si="12"/>
        <v>666</v>
      </c>
      <c r="C672" s="35" cm="1">
        <f t="array" aca="1" ref="C672" ca="1">IF(ISNA(B672),"",dice(F$2,F$3))</f>
        <v>8</v>
      </c>
    </row>
    <row r="673" spans="2:3" x14ac:dyDescent="0.25">
      <c r="B673" s="29">
        <f t="shared" si="12"/>
        <v>667</v>
      </c>
      <c r="C673" s="35" cm="1">
        <f t="array" aca="1" ref="C673" ca="1">IF(ISNA(B673),"",dice(F$2,F$3))</f>
        <v>11</v>
      </c>
    </row>
    <row r="674" spans="2:3" x14ac:dyDescent="0.25">
      <c r="B674" s="29">
        <f t="shared" si="12"/>
        <v>668</v>
      </c>
      <c r="C674" s="35" cm="1">
        <f t="array" aca="1" ref="C674" ca="1">IF(ISNA(B674),"",dice(F$2,F$3))</f>
        <v>9</v>
      </c>
    </row>
    <row r="675" spans="2:3" x14ac:dyDescent="0.25">
      <c r="B675" s="29">
        <f t="shared" si="12"/>
        <v>669</v>
      </c>
      <c r="C675" s="35" cm="1">
        <f t="array" aca="1" ref="C675" ca="1">IF(ISNA(B675),"",dice(F$2,F$3))</f>
        <v>9</v>
      </c>
    </row>
    <row r="676" spans="2:3" x14ac:dyDescent="0.25">
      <c r="B676" s="29">
        <f t="shared" si="12"/>
        <v>670</v>
      </c>
      <c r="C676" s="35" cm="1">
        <f t="array" aca="1" ref="C676" ca="1">IF(ISNA(B676),"",dice(F$2,F$3))</f>
        <v>9</v>
      </c>
    </row>
    <row r="677" spans="2:3" x14ac:dyDescent="0.25">
      <c r="B677" s="29">
        <f t="shared" si="12"/>
        <v>671</v>
      </c>
      <c r="C677" s="35" cm="1">
        <f t="array" aca="1" ref="C677" ca="1">IF(ISNA(B677),"",dice(F$2,F$3))</f>
        <v>6</v>
      </c>
    </row>
    <row r="678" spans="2:3" x14ac:dyDescent="0.25">
      <c r="B678" s="29">
        <f t="shared" si="12"/>
        <v>672</v>
      </c>
      <c r="C678" s="35" cm="1">
        <f t="array" aca="1" ref="C678" ca="1">IF(ISNA(B678),"",dice(F$2,F$3))</f>
        <v>8</v>
      </c>
    </row>
    <row r="679" spans="2:3" x14ac:dyDescent="0.25">
      <c r="B679" s="29">
        <f t="shared" si="12"/>
        <v>673</v>
      </c>
      <c r="C679" s="35" cm="1">
        <f t="array" aca="1" ref="C679" ca="1">IF(ISNA(B679),"",dice(F$2,F$3))</f>
        <v>10</v>
      </c>
    </row>
    <row r="680" spans="2:3" x14ac:dyDescent="0.25">
      <c r="B680" s="29">
        <f t="shared" si="12"/>
        <v>674</v>
      </c>
      <c r="C680" s="35" cm="1">
        <f t="array" aca="1" ref="C680" ca="1">IF(ISNA(B680),"",dice(F$2,F$3))</f>
        <v>13</v>
      </c>
    </row>
    <row r="681" spans="2:3" x14ac:dyDescent="0.25">
      <c r="B681" s="29">
        <f t="shared" si="12"/>
        <v>675</v>
      </c>
      <c r="C681" s="35" cm="1">
        <f t="array" aca="1" ref="C681" ca="1">IF(ISNA(B681),"",dice(F$2,F$3))</f>
        <v>11</v>
      </c>
    </row>
    <row r="682" spans="2:3" x14ac:dyDescent="0.25">
      <c r="B682" s="29">
        <f t="shared" si="12"/>
        <v>676</v>
      </c>
      <c r="C682" s="35" cm="1">
        <f t="array" aca="1" ref="C682" ca="1">IF(ISNA(B682),"",dice(F$2,F$3))</f>
        <v>10</v>
      </c>
    </row>
    <row r="683" spans="2:3" x14ac:dyDescent="0.25">
      <c r="B683" s="29">
        <f t="shared" si="12"/>
        <v>677</v>
      </c>
      <c r="C683" s="35" cm="1">
        <f t="array" aca="1" ref="C683" ca="1">IF(ISNA(B683),"",dice(F$2,F$3))</f>
        <v>11</v>
      </c>
    </row>
    <row r="684" spans="2:3" x14ac:dyDescent="0.25">
      <c r="B684" s="29">
        <f t="shared" si="12"/>
        <v>678</v>
      </c>
      <c r="C684" s="35" cm="1">
        <f t="array" aca="1" ref="C684" ca="1">IF(ISNA(B684),"",dice(F$2,F$3))</f>
        <v>9</v>
      </c>
    </row>
    <row r="685" spans="2:3" x14ac:dyDescent="0.25">
      <c r="B685" s="29">
        <f t="shared" si="12"/>
        <v>679</v>
      </c>
      <c r="C685" s="35" cm="1">
        <f t="array" aca="1" ref="C685" ca="1">IF(ISNA(B685),"",dice(F$2,F$3))</f>
        <v>15</v>
      </c>
    </row>
    <row r="686" spans="2:3" x14ac:dyDescent="0.25">
      <c r="B686" s="29">
        <f t="shared" si="12"/>
        <v>680</v>
      </c>
      <c r="C686" s="35" cm="1">
        <f t="array" aca="1" ref="C686" ca="1">IF(ISNA(B686),"",dice(F$2,F$3))</f>
        <v>11</v>
      </c>
    </row>
    <row r="687" spans="2:3" x14ac:dyDescent="0.25">
      <c r="B687" s="29">
        <f t="shared" si="12"/>
        <v>681</v>
      </c>
      <c r="C687" s="35" cm="1">
        <f t="array" aca="1" ref="C687" ca="1">IF(ISNA(B687),"",dice(F$2,F$3))</f>
        <v>4</v>
      </c>
    </row>
    <row r="688" spans="2:3" x14ac:dyDescent="0.25">
      <c r="B688" s="29">
        <f t="shared" si="12"/>
        <v>682</v>
      </c>
      <c r="C688" s="35" cm="1">
        <f t="array" aca="1" ref="C688" ca="1">IF(ISNA(B688),"",dice(F$2,F$3))</f>
        <v>11</v>
      </c>
    </row>
    <row r="689" spans="2:3" x14ac:dyDescent="0.25">
      <c r="B689" s="29">
        <f t="shared" si="12"/>
        <v>683</v>
      </c>
      <c r="C689" s="35" cm="1">
        <f t="array" aca="1" ref="C689" ca="1">IF(ISNA(B689),"",dice(F$2,F$3))</f>
        <v>10</v>
      </c>
    </row>
    <row r="690" spans="2:3" x14ac:dyDescent="0.25">
      <c r="B690" s="29">
        <f t="shared" si="12"/>
        <v>684</v>
      </c>
      <c r="C690" s="35" cm="1">
        <f t="array" aca="1" ref="C690" ca="1">IF(ISNA(B690),"",dice(F$2,F$3))</f>
        <v>8</v>
      </c>
    </row>
    <row r="691" spans="2:3" x14ac:dyDescent="0.25">
      <c r="B691" s="29">
        <f t="shared" si="12"/>
        <v>685</v>
      </c>
      <c r="C691" s="35" cm="1">
        <f t="array" aca="1" ref="C691" ca="1">IF(ISNA(B691),"",dice(F$2,F$3))</f>
        <v>14</v>
      </c>
    </row>
    <row r="692" spans="2:3" x14ac:dyDescent="0.25">
      <c r="B692" s="29">
        <f t="shared" si="12"/>
        <v>686</v>
      </c>
      <c r="C692" s="35" cm="1">
        <f t="array" aca="1" ref="C692" ca="1">IF(ISNA(B692),"",dice(F$2,F$3))</f>
        <v>12</v>
      </c>
    </row>
    <row r="693" spans="2:3" x14ac:dyDescent="0.25">
      <c r="B693" s="29">
        <f t="shared" si="12"/>
        <v>687</v>
      </c>
      <c r="C693" s="35" cm="1">
        <f t="array" aca="1" ref="C693" ca="1">IF(ISNA(B693),"",dice(F$2,F$3))</f>
        <v>15</v>
      </c>
    </row>
    <row r="694" spans="2:3" x14ac:dyDescent="0.25">
      <c r="B694" s="29">
        <f t="shared" si="12"/>
        <v>688</v>
      </c>
      <c r="C694" s="35" cm="1">
        <f t="array" aca="1" ref="C694" ca="1">IF(ISNA(B694),"",dice(F$2,F$3))</f>
        <v>14</v>
      </c>
    </row>
    <row r="695" spans="2:3" x14ac:dyDescent="0.25">
      <c r="B695" s="29">
        <f t="shared" si="12"/>
        <v>689</v>
      </c>
      <c r="C695" s="35" cm="1">
        <f t="array" aca="1" ref="C695" ca="1">IF(ISNA(B695),"",dice(F$2,F$3))</f>
        <v>10</v>
      </c>
    </row>
    <row r="696" spans="2:3" x14ac:dyDescent="0.25">
      <c r="B696" s="29">
        <f t="shared" si="12"/>
        <v>690</v>
      </c>
      <c r="C696" s="35" cm="1">
        <f t="array" aca="1" ref="C696" ca="1">IF(ISNA(B696),"",dice(F$2,F$3))</f>
        <v>12</v>
      </c>
    </row>
    <row r="697" spans="2:3" x14ac:dyDescent="0.25">
      <c r="B697" s="29">
        <f t="shared" si="12"/>
        <v>691</v>
      </c>
      <c r="C697" s="35" cm="1">
        <f t="array" aca="1" ref="C697" ca="1">IF(ISNA(B697),"",dice(F$2,F$3))</f>
        <v>17</v>
      </c>
    </row>
    <row r="698" spans="2:3" x14ac:dyDescent="0.25">
      <c r="B698" s="29">
        <f t="shared" si="12"/>
        <v>692</v>
      </c>
      <c r="C698" s="35" cm="1">
        <f t="array" aca="1" ref="C698" ca="1">IF(ISNA(B698),"",dice(F$2,F$3))</f>
        <v>6</v>
      </c>
    </row>
    <row r="699" spans="2:3" x14ac:dyDescent="0.25">
      <c r="B699" s="29">
        <f t="shared" si="12"/>
        <v>693</v>
      </c>
      <c r="C699" s="35" cm="1">
        <f t="array" aca="1" ref="C699" ca="1">IF(ISNA(B699),"",dice(F$2,F$3))</f>
        <v>12</v>
      </c>
    </row>
    <row r="700" spans="2:3" x14ac:dyDescent="0.25">
      <c r="B700" s="29">
        <f t="shared" si="12"/>
        <v>694</v>
      </c>
      <c r="C700" s="35" cm="1">
        <f t="array" aca="1" ref="C700" ca="1">IF(ISNA(B700),"",dice(F$2,F$3))</f>
        <v>11</v>
      </c>
    </row>
    <row r="701" spans="2:3" x14ac:dyDescent="0.25">
      <c r="B701" s="29">
        <f t="shared" si="12"/>
        <v>695</v>
      </c>
      <c r="C701" s="35" cm="1">
        <f t="array" aca="1" ref="C701" ca="1">IF(ISNA(B701),"",dice(F$2,F$3))</f>
        <v>7</v>
      </c>
    </row>
    <row r="702" spans="2:3" x14ac:dyDescent="0.25">
      <c r="B702" s="29">
        <f t="shared" si="12"/>
        <v>696</v>
      </c>
      <c r="C702" s="35" cm="1">
        <f t="array" aca="1" ref="C702" ca="1">IF(ISNA(B702),"",dice(F$2,F$3))</f>
        <v>6</v>
      </c>
    </row>
    <row r="703" spans="2:3" x14ac:dyDescent="0.25">
      <c r="B703" s="29">
        <f t="shared" si="12"/>
        <v>697</v>
      </c>
      <c r="C703" s="35" cm="1">
        <f t="array" aca="1" ref="C703" ca="1">IF(ISNA(B703),"",dice(F$2,F$3))</f>
        <v>12</v>
      </c>
    </row>
    <row r="704" spans="2:3" x14ac:dyDescent="0.25">
      <c r="B704" s="29">
        <f t="shared" si="12"/>
        <v>698</v>
      </c>
      <c r="C704" s="35" cm="1">
        <f t="array" aca="1" ref="C704" ca="1">IF(ISNA(B704),"",dice(F$2,F$3))</f>
        <v>13</v>
      </c>
    </row>
    <row r="705" spans="2:3" x14ac:dyDescent="0.25">
      <c r="B705" s="29">
        <f t="shared" si="12"/>
        <v>699</v>
      </c>
      <c r="C705" s="35" cm="1">
        <f t="array" aca="1" ref="C705" ca="1">IF(ISNA(B705),"",dice(F$2,F$3))</f>
        <v>9</v>
      </c>
    </row>
    <row r="706" spans="2:3" x14ac:dyDescent="0.25">
      <c r="B706" s="29">
        <f t="shared" si="12"/>
        <v>700</v>
      </c>
      <c r="C706" s="35" cm="1">
        <f t="array" aca="1" ref="C706" ca="1">IF(ISNA(B706),"",dice(F$2,F$3))</f>
        <v>13</v>
      </c>
    </row>
    <row r="707" spans="2:3" x14ac:dyDescent="0.25">
      <c r="B707" s="29">
        <f t="shared" si="12"/>
        <v>701</v>
      </c>
      <c r="C707" s="35" cm="1">
        <f t="array" aca="1" ref="C707" ca="1">IF(ISNA(B707),"",dice(F$2,F$3))</f>
        <v>12</v>
      </c>
    </row>
    <row r="708" spans="2:3" x14ac:dyDescent="0.25">
      <c r="B708" s="29">
        <f t="shared" si="12"/>
        <v>702</v>
      </c>
      <c r="C708" s="35" cm="1">
        <f t="array" aca="1" ref="C708" ca="1">IF(ISNA(B708),"",dice(F$2,F$3))</f>
        <v>11</v>
      </c>
    </row>
    <row r="709" spans="2:3" x14ac:dyDescent="0.25">
      <c r="B709" s="29">
        <f t="shared" si="12"/>
        <v>703</v>
      </c>
      <c r="C709" s="35" cm="1">
        <f t="array" aca="1" ref="C709" ca="1">IF(ISNA(B709),"",dice(F$2,F$3))</f>
        <v>10</v>
      </c>
    </row>
    <row r="710" spans="2:3" x14ac:dyDescent="0.25">
      <c r="B710" s="29">
        <f t="shared" si="12"/>
        <v>704</v>
      </c>
      <c r="C710" s="35" cm="1">
        <f t="array" aca="1" ref="C710" ca="1">IF(ISNA(B710),"",dice(F$2,F$3))</f>
        <v>12</v>
      </c>
    </row>
    <row r="711" spans="2:3" x14ac:dyDescent="0.25">
      <c r="B711" s="29">
        <f t="shared" si="12"/>
        <v>705</v>
      </c>
      <c r="C711" s="35" cm="1">
        <f t="array" aca="1" ref="C711" ca="1">IF(ISNA(B711),"",dice(F$2,F$3))</f>
        <v>7</v>
      </c>
    </row>
    <row r="712" spans="2:3" x14ac:dyDescent="0.25">
      <c r="B712" s="29">
        <f t="shared" si="12"/>
        <v>706</v>
      </c>
      <c r="C712" s="35" cm="1">
        <f t="array" aca="1" ref="C712" ca="1">IF(ISNA(B712),"",dice(F$2,F$3))</f>
        <v>11</v>
      </c>
    </row>
    <row r="713" spans="2:3" x14ac:dyDescent="0.25">
      <c r="B713" s="29">
        <f t="shared" ref="B713:B776" si="13">IF(B712&lt;F$4,B712+1,NA())</f>
        <v>707</v>
      </c>
      <c r="C713" s="35" cm="1">
        <f t="array" aca="1" ref="C713" ca="1">IF(ISNA(B713),"",dice(F$2,F$3))</f>
        <v>11</v>
      </c>
    </row>
    <row r="714" spans="2:3" x14ac:dyDescent="0.25">
      <c r="B714" s="29">
        <f t="shared" si="13"/>
        <v>708</v>
      </c>
      <c r="C714" s="35" cm="1">
        <f t="array" aca="1" ref="C714" ca="1">IF(ISNA(B714),"",dice(F$2,F$3))</f>
        <v>10</v>
      </c>
    </row>
    <row r="715" spans="2:3" x14ac:dyDescent="0.25">
      <c r="B715" s="29">
        <f t="shared" si="13"/>
        <v>709</v>
      </c>
      <c r="C715" s="35" cm="1">
        <f t="array" aca="1" ref="C715" ca="1">IF(ISNA(B715),"",dice(F$2,F$3))</f>
        <v>9</v>
      </c>
    </row>
    <row r="716" spans="2:3" x14ac:dyDescent="0.25">
      <c r="B716" s="29">
        <f t="shared" si="13"/>
        <v>710</v>
      </c>
      <c r="C716" s="35" cm="1">
        <f t="array" aca="1" ref="C716" ca="1">IF(ISNA(B716),"",dice(F$2,F$3))</f>
        <v>15</v>
      </c>
    </row>
    <row r="717" spans="2:3" x14ac:dyDescent="0.25">
      <c r="B717" s="29">
        <f t="shared" si="13"/>
        <v>711</v>
      </c>
      <c r="C717" s="35" cm="1">
        <f t="array" aca="1" ref="C717" ca="1">IF(ISNA(B717),"",dice(F$2,F$3))</f>
        <v>11</v>
      </c>
    </row>
    <row r="718" spans="2:3" x14ac:dyDescent="0.25">
      <c r="B718" s="29">
        <f t="shared" si="13"/>
        <v>712</v>
      </c>
      <c r="C718" s="35" cm="1">
        <f t="array" aca="1" ref="C718" ca="1">IF(ISNA(B718),"",dice(F$2,F$3))</f>
        <v>11</v>
      </c>
    </row>
    <row r="719" spans="2:3" x14ac:dyDescent="0.25">
      <c r="B719" s="29">
        <f t="shared" si="13"/>
        <v>713</v>
      </c>
      <c r="C719" s="35" cm="1">
        <f t="array" aca="1" ref="C719" ca="1">IF(ISNA(B719),"",dice(F$2,F$3))</f>
        <v>9</v>
      </c>
    </row>
    <row r="720" spans="2:3" x14ac:dyDescent="0.25">
      <c r="B720" s="29">
        <f t="shared" si="13"/>
        <v>714</v>
      </c>
      <c r="C720" s="35" cm="1">
        <f t="array" aca="1" ref="C720" ca="1">IF(ISNA(B720),"",dice(F$2,F$3))</f>
        <v>13</v>
      </c>
    </row>
    <row r="721" spans="2:3" x14ac:dyDescent="0.25">
      <c r="B721" s="29">
        <f t="shared" si="13"/>
        <v>715</v>
      </c>
      <c r="C721" s="35" cm="1">
        <f t="array" aca="1" ref="C721" ca="1">IF(ISNA(B721),"",dice(F$2,F$3))</f>
        <v>11</v>
      </c>
    </row>
    <row r="722" spans="2:3" x14ac:dyDescent="0.25">
      <c r="B722" s="29">
        <f t="shared" si="13"/>
        <v>716</v>
      </c>
      <c r="C722" s="35" cm="1">
        <f t="array" aca="1" ref="C722" ca="1">IF(ISNA(B722),"",dice(F$2,F$3))</f>
        <v>10</v>
      </c>
    </row>
    <row r="723" spans="2:3" x14ac:dyDescent="0.25">
      <c r="B723" s="29">
        <f t="shared" si="13"/>
        <v>717</v>
      </c>
      <c r="C723" s="35" cm="1">
        <f t="array" aca="1" ref="C723" ca="1">IF(ISNA(B723),"",dice(F$2,F$3))</f>
        <v>9</v>
      </c>
    </row>
    <row r="724" spans="2:3" x14ac:dyDescent="0.25">
      <c r="B724" s="29">
        <f t="shared" si="13"/>
        <v>718</v>
      </c>
      <c r="C724" s="35" cm="1">
        <f t="array" aca="1" ref="C724" ca="1">IF(ISNA(B724),"",dice(F$2,F$3))</f>
        <v>7</v>
      </c>
    </row>
    <row r="725" spans="2:3" x14ac:dyDescent="0.25">
      <c r="B725" s="29">
        <f t="shared" si="13"/>
        <v>719</v>
      </c>
      <c r="C725" s="35" cm="1">
        <f t="array" aca="1" ref="C725" ca="1">IF(ISNA(B725),"",dice(F$2,F$3))</f>
        <v>6</v>
      </c>
    </row>
    <row r="726" spans="2:3" x14ac:dyDescent="0.25">
      <c r="B726" s="29">
        <f t="shared" si="13"/>
        <v>720</v>
      </c>
      <c r="C726" s="35" cm="1">
        <f t="array" aca="1" ref="C726" ca="1">IF(ISNA(B726),"",dice(F$2,F$3))</f>
        <v>16</v>
      </c>
    </row>
    <row r="727" spans="2:3" x14ac:dyDescent="0.25">
      <c r="B727" s="29">
        <f t="shared" si="13"/>
        <v>721</v>
      </c>
      <c r="C727" s="35" cm="1">
        <f t="array" aca="1" ref="C727" ca="1">IF(ISNA(B727),"",dice(F$2,F$3))</f>
        <v>13</v>
      </c>
    </row>
    <row r="728" spans="2:3" x14ac:dyDescent="0.25">
      <c r="B728" s="29">
        <f t="shared" si="13"/>
        <v>722</v>
      </c>
      <c r="C728" s="35" cm="1">
        <f t="array" aca="1" ref="C728" ca="1">IF(ISNA(B728),"",dice(F$2,F$3))</f>
        <v>10</v>
      </c>
    </row>
    <row r="729" spans="2:3" x14ac:dyDescent="0.25">
      <c r="B729" s="29">
        <f t="shared" si="13"/>
        <v>723</v>
      </c>
      <c r="C729" s="35" cm="1">
        <f t="array" aca="1" ref="C729" ca="1">IF(ISNA(B729),"",dice(F$2,F$3))</f>
        <v>15</v>
      </c>
    </row>
    <row r="730" spans="2:3" x14ac:dyDescent="0.25">
      <c r="B730" s="29">
        <f t="shared" si="13"/>
        <v>724</v>
      </c>
      <c r="C730" s="35" cm="1">
        <f t="array" aca="1" ref="C730" ca="1">IF(ISNA(B730),"",dice(F$2,F$3))</f>
        <v>11</v>
      </c>
    </row>
    <row r="731" spans="2:3" x14ac:dyDescent="0.25">
      <c r="B731" s="29">
        <f t="shared" si="13"/>
        <v>725</v>
      </c>
      <c r="C731" s="35" cm="1">
        <f t="array" aca="1" ref="C731" ca="1">IF(ISNA(B731),"",dice(F$2,F$3))</f>
        <v>9</v>
      </c>
    </row>
    <row r="732" spans="2:3" x14ac:dyDescent="0.25">
      <c r="B732" s="29">
        <f t="shared" si="13"/>
        <v>726</v>
      </c>
      <c r="C732" s="35" cm="1">
        <f t="array" aca="1" ref="C732" ca="1">IF(ISNA(B732),"",dice(F$2,F$3))</f>
        <v>5</v>
      </c>
    </row>
    <row r="733" spans="2:3" x14ac:dyDescent="0.25">
      <c r="B733" s="29">
        <f t="shared" si="13"/>
        <v>727</v>
      </c>
      <c r="C733" s="35" cm="1">
        <f t="array" aca="1" ref="C733" ca="1">IF(ISNA(B733),"",dice(F$2,F$3))</f>
        <v>11</v>
      </c>
    </row>
    <row r="734" spans="2:3" x14ac:dyDescent="0.25">
      <c r="B734" s="29">
        <f t="shared" si="13"/>
        <v>728</v>
      </c>
      <c r="C734" s="35" cm="1">
        <f t="array" aca="1" ref="C734" ca="1">IF(ISNA(B734),"",dice(F$2,F$3))</f>
        <v>7</v>
      </c>
    </row>
    <row r="735" spans="2:3" x14ac:dyDescent="0.25">
      <c r="B735" s="29">
        <f t="shared" si="13"/>
        <v>729</v>
      </c>
      <c r="C735" s="35" cm="1">
        <f t="array" aca="1" ref="C735" ca="1">IF(ISNA(B735),"",dice(F$2,F$3))</f>
        <v>7</v>
      </c>
    </row>
    <row r="736" spans="2:3" x14ac:dyDescent="0.25">
      <c r="B736" s="29">
        <f t="shared" si="13"/>
        <v>730</v>
      </c>
      <c r="C736" s="35" cm="1">
        <f t="array" aca="1" ref="C736" ca="1">IF(ISNA(B736),"",dice(F$2,F$3))</f>
        <v>7</v>
      </c>
    </row>
    <row r="737" spans="2:3" x14ac:dyDescent="0.25">
      <c r="B737" s="29">
        <f t="shared" si="13"/>
        <v>731</v>
      </c>
      <c r="C737" s="35" cm="1">
        <f t="array" aca="1" ref="C737" ca="1">IF(ISNA(B737),"",dice(F$2,F$3))</f>
        <v>12</v>
      </c>
    </row>
    <row r="738" spans="2:3" x14ac:dyDescent="0.25">
      <c r="B738" s="29">
        <f t="shared" si="13"/>
        <v>732</v>
      </c>
      <c r="C738" s="35" cm="1">
        <f t="array" aca="1" ref="C738" ca="1">IF(ISNA(B738),"",dice(F$2,F$3))</f>
        <v>10</v>
      </c>
    </row>
    <row r="739" spans="2:3" x14ac:dyDescent="0.25">
      <c r="B739" s="29">
        <f t="shared" si="13"/>
        <v>733</v>
      </c>
      <c r="C739" s="35" cm="1">
        <f t="array" aca="1" ref="C739" ca="1">IF(ISNA(B739),"",dice(F$2,F$3))</f>
        <v>10</v>
      </c>
    </row>
    <row r="740" spans="2:3" x14ac:dyDescent="0.25">
      <c r="B740" s="29">
        <f t="shared" si="13"/>
        <v>734</v>
      </c>
      <c r="C740" s="35" cm="1">
        <f t="array" aca="1" ref="C740" ca="1">IF(ISNA(B740),"",dice(F$2,F$3))</f>
        <v>17</v>
      </c>
    </row>
    <row r="741" spans="2:3" x14ac:dyDescent="0.25">
      <c r="B741" s="29">
        <f t="shared" si="13"/>
        <v>735</v>
      </c>
      <c r="C741" s="35" cm="1">
        <f t="array" aca="1" ref="C741" ca="1">IF(ISNA(B741),"",dice(F$2,F$3))</f>
        <v>7</v>
      </c>
    </row>
    <row r="742" spans="2:3" x14ac:dyDescent="0.25">
      <c r="B742" s="29">
        <f t="shared" si="13"/>
        <v>736</v>
      </c>
      <c r="C742" s="35" cm="1">
        <f t="array" aca="1" ref="C742" ca="1">IF(ISNA(B742),"",dice(F$2,F$3))</f>
        <v>8</v>
      </c>
    </row>
    <row r="743" spans="2:3" x14ac:dyDescent="0.25">
      <c r="B743" s="29">
        <f t="shared" si="13"/>
        <v>737</v>
      </c>
      <c r="C743" s="35" cm="1">
        <f t="array" aca="1" ref="C743" ca="1">IF(ISNA(B743),"",dice(F$2,F$3))</f>
        <v>13</v>
      </c>
    </row>
    <row r="744" spans="2:3" x14ac:dyDescent="0.25">
      <c r="B744" s="29">
        <f t="shared" si="13"/>
        <v>738</v>
      </c>
      <c r="C744" s="35" cm="1">
        <f t="array" aca="1" ref="C744" ca="1">IF(ISNA(B744),"",dice(F$2,F$3))</f>
        <v>9</v>
      </c>
    </row>
    <row r="745" spans="2:3" x14ac:dyDescent="0.25">
      <c r="B745" s="29">
        <f t="shared" si="13"/>
        <v>739</v>
      </c>
      <c r="C745" s="35" cm="1">
        <f t="array" aca="1" ref="C745" ca="1">IF(ISNA(B745),"",dice(F$2,F$3))</f>
        <v>11</v>
      </c>
    </row>
    <row r="746" spans="2:3" x14ac:dyDescent="0.25">
      <c r="B746" s="29">
        <f t="shared" si="13"/>
        <v>740</v>
      </c>
      <c r="C746" s="35" cm="1">
        <f t="array" aca="1" ref="C746" ca="1">IF(ISNA(B746),"",dice(F$2,F$3))</f>
        <v>13</v>
      </c>
    </row>
    <row r="747" spans="2:3" x14ac:dyDescent="0.25">
      <c r="B747" s="29">
        <f t="shared" si="13"/>
        <v>741</v>
      </c>
      <c r="C747" s="35" cm="1">
        <f t="array" aca="1" ref="C747" ca="1">IF(ISNA(B747),"",dice(F$2,F$3))</f>
        <v>14</v>
      </c>
    </row>
    <row r="748" spans="2:3" x14ac:dyDescent="0.25">
      <c r="B748" s="29">
        <f t="shared" si="13"/>
        <v>742</v>
      </c>
      <c r="C748" s="35" cm="1">
        <f t="array" aca="1" ref="C748" ca="1">IF(ISNA(B748),"",dice(F$2,F$3))</f>
        <v>9</v>
      </c>
    </row>
    <row r="749" spans="2:3" x14ac:dyDescent="0.25">
      <c r="B749" s="29">
        <f t="shared" si="13"/>
        <v>743</v>
      </c>
      <c r="C749" s="35" cm="1">
        <f t="array" aca="1" ref="C749" ca="1">IF(ISNA(B749),"",dice(F$2,F$3))</f>
        <v>13</v>
      </c>
    </row>
    <row r="750" spans="2:3" x14ac:dyDescent="0.25">
      <c r="B750" s="29">
        <f t="shared" si="13"/>
        <v>744</v>
      </c>
      <c r="C750" s="35" cm="1">
        <f t="array" aca="1" ref="C750" ca="1">IF(ISNA(B750),"",dice(F$2,F$3))</f>
        <v>8</v>
      </c>
    </row>
    <row r="751" spans="2:3" x14ac:dyDescent="0.25">
      <c r="B751" s="29">
        <f t="shared" si="13"/>
        <v>745</v>
      </c>
      <c r="C751" s="35" cm="1">
        <f t="array" aca="1" ref="C751" ca="1">IF(ISNA(B751),"",dice(F$2,F$3))</f>
        <v>10</v>
      </c>
    </row>
    <row r="752" spans="2:3" x14ac:dyDescent="0.25">
      <c r="B752" s="29">
        <f t="shared" si="13"/>
        <v>746</v>
      </c>
      <c r="C752" s="35" cm="1">
        <f t="array" aca="1" ref="C752" ca="1">IF(ISNA(B752),"",dice(F$2,F$3))</f>
        <v>9</v>
      </c>
    </row>
    <row r="753" spans="2:3" x14ac:dyDescent="0.25">
      <c r="B753" s="29">
        <f t="shared" si="13"/>
        <v>747</v>
      </c>
      <c r="C753" s="35" cm="1">
        <f t="array" aca="1" ref="C753" ca="1">IF(ISNA(B753),"",dice(F$2,F$3))</f>
        <v>15</v>
      </c>
    </row>
    <row r="754" spans="2:3" x14ac:dyDescent="0.25">
      <c r="B754" s="29">
        <f t="shared" si="13"/>
        <v>748</v>
      </c>
      <c r="C754" s="35" cm="1">
        <f t="array" aca="1" ref="C754" ca="1">IF(ISNA(B754),"",dice(F$2,F$3))</f>
        <v>13</v>
      </c>
    </row>
    <row r="755" spans="2:3" x14ac:dyDescent="0.25">
      <c r="B755" s="29">
        <f t="shared" si="13"/>
        <v>749</v>
      </c>
      <c r="C755" s="35" cm="1">
        <f t="array" aca="1" ref="C755" ca="1">IF(ISNA(B755),"",dice(F$2,F$3))</f>
        <v>8</v>
      </c>
    </row>
    <row r="756" spans="2:3" x14ac:dyDescent="0.25">
      <c r="B756" s="29">
        <f t="shared" si="13"/>
        <v>750</v>
      </c>
      <c r="C756" s="35" cm="1">
        <f t="array" aca="1" ref="C756" ca="1">IF(ISNA(B756),"",dice(F$2,F$3))</f>
        <v>11</v>
      </c>
    </row>
    <row r="757" spans="2:3" x14ac:dyDescent="0.25">
      <c r="B757" s="29">
        <f t="shared" si="13"/>
        <v>751</v>
      </c>
      <c r="C757" s="35" cm="1">
        <f t="array" aca="1" ref="C757" ca="1">IF(ISNA(B757),"",dice(F$2,F$3))</f>
        <v>9</v>
      </c>
    </row>
    <row r="758" spans="2:3" x14ac:dyDescent="0.25">
      <c r="B758" s="29">
        <f t="shared" si="13"/>
        <v>752</v>
      </c>
      <c r="C758" s="35" cm="1">
        <f t="array" aca="1" ref="C758" ca="1">IF(ISNA(B758),"",dice(F$2,F$3))</f>
        <v>12</v>
      </c>
    </row>
    <row r="759" spans="2:3" x14ac:dyDescent="0.25">
      <c r="B759" s="29">
        <f t="shared" si="13"/>
        <v>753</v>
      </c>
      <c r="C759" s="35" cm="1">
        <f t="array" aca="1" ref="C759" ca="1">IF(ISNA(B759),"",dice(F$2,F$3))</f>
        <v>6</v>
      </c>
    </row>
    <row r="760" spans="2:3" x14ac:dyDescent="0.25">
      <c r="B760" s="29">
        <f t="shared" si="13"/>
        <v>754</v>
      </c>
      <c r="C760" s="35" cm="1">
        <f t="array" aca="1" ref="C760" ca="1">IF(ISNA(B760),"",dice(F$2,F$3))</f>
        <v>13</v>
      </c>
    </row>
    <row r="761" spans="2:3" x14ac:dyDescent="0.25">
      <c r="B761" s="29">
        <f t="shared" si="13"/>
        <v>755</v>
      </c>
      <c r="C761" s="35" cm="1">
        <f t="array" aca="1" ref="C761" ca="1">IF(ISNA(B761),"",dice(F$2,F$3))</f>
        <v>13</v>
      </c>
    </row>
    <row r="762" spans="2:3" x14ac:dyDescent="0.25">
      <c r="B762" s="29">
        <f t="shared" si="13"/>
        <v>756</v>
      </c>
      <c r="C762" s="35" cm="1">
        <f t="array" aca="1" ref="C762" ca="1">IF(ISNA(B762),"",dice(F$2,F$3))</f>
        <v>8</v>
      </c>
    </row>
    <row r="763" spans="2:3" x14ac:dyDescent="0.25">
      <c r="B763" s="29">
        <f t="shared" si="13"/>
        <v>757</v>
      </c>
      <c r="C763" s="35" cm="1">
        <f t="array" aca="1" ref="C763" ca="1">IF(ISNA(B763),"",dice(F$2,F$3))</f>
        <v>11</v>
      </c>
    </row>
    <row r="764" spans="2:3" x14ac:dyDescent="0.25">
      <c r="B764" s="29">
        <f t="shared" si="13"/>
        <v>758</v>
      </c>
      <c r="C764" s="35" cm="1">
        <f t="array" aca="1" ref="C764" ca="1">IF(ISNA(B764),"",dice(F$2,F$3))</f>
        <v>11</v>
      </c>
    </row>
    <row r="765" spans="2:3" x14ac:dyDescent="0.25">
      <c r="B765" s="29">
        <f t="shared" si="13"/>
        <v>759</v>
      </c>
      <c r="C765" s="35" cm="1">
        <f t="array" aca="1" ref="C765" ca="1">IF(ISNA(B765),"",dice(F$2,F$3))</f>
        <v>4</v>
      </c>
    </row>
    <row r="766" spans="2:3" x14ac:dyDescent="0.25">
      <c r="B766" s="29">
        <f t="shared" si="13"/>
        <v>760</v>
      </c>
      <c r="C766" s="35" cm="1">
        <f t="array" aca="1" ref="C766" ca="1">IF(ISNA(B766),"",dice(F$2,F$3))</f>
        <v>7</v>
      </c>
    </row>
    <row r="767" spans="2:3" x14ac:dyDescent="0.25">
      <c r="B767" s="29">
        <f t="shared" si="13"/>
        <v>761</v>
      </c>
      <c r="C767" s="35" cm="1">
        <f t="array" aca="1" ref="C767" ca="1">IF(ISNA(B767),"",dice(F$2,F$3))</f>
        <v>12</v>
      </c>
    </row>
    <row r="768" spans="2:3" x14ac:dyDescent="0.25">
      <c r="B768" s="29">
        <f t="shared" si="13"/>
        <v>762</v>
      </c>
      <c r="C768" s="35" cm="1">
        <f t="array" aca="1" ref="C768" ca="1">IF(ISNA(B768),"",dice(F$2,F$3))</f>
        <v>16</v>
      </c>
    </row>
    <row r="769" spans="2:3" x14ac:dyDescent="0.25">
      <c r="B769" s="29">
        <f t="shared" si="13"/>
        <v>763</v>
      </c>
      <c r="C769" s="35" cm="1">
        <f t="array" aca="1" ref="C769" ca="1">IF(ISNA(B769),"",dice(F$2,F$3))</f>
        <v>9</v>
      </c>
    </row>
    <row r="770" spans="2:3" x14ac:dyDescent="0.25">
      <c r="B770" s="29">
        <f t="shared" si="13"/>
        <v>764</v>
      </c>
      <c r="C770" s="35" cm="1">
        <f t="array" aca="1" ref="C770" ca="1">IF(ISNA(B770),"",dice(F$2,F$3))</f>
        <v>16</v>
      </c>
    </row>
    <row r="771" spans="2:3" x14ac:dyDescent="0.25">
      <c r="B771" s="29">
        <f t="shared" si="13"/>
        <v>765</v>
      </c>
      <c r="C771" s="35" cm="1">
        <f t="array" aca="1" ref="C771" ca="1">IF(ISNA(B771),"",dice(F$2,F$3))</f>
        <v>9</v>
      </c>
    </row>
    <row r="772" spans="2:3" x14ac:dyDescent="0.25">
      <c r="B772" s="29">
        <f t="shared" si="13"/>
        <v>766</v>
      </c>
      <c r="C772" s="35" cm="1">
        <f t="array" aca="1" ref="C772" ca="1">IF(ISNA(B772),"",dice(F$2,F$3))</f>
        <v>11</v>
      </c>
    </row>
    <row r="773" spans="2:3" x14ac:dyDescent="0.25">
      <c r="B773" s="29">
        <f t="shared" si="13"/>
        <v>767</v>
      </c>
      <c r="C773" s="35" cm="1">
        <f t="array" aca="1" ref="C773" ca="1">IF(ISNA(B773),"",dice(F$2,F$3))</f>
        <v>12</v>
      </c>
    </row>
    <row r="774" spans="2:3" x14ac:dyDescent="0.25">
      <c r="B774" s="29">
        <f t="shared" si="13"/>
        <v>768</v>
      </c>
      <c r="C774" s="35" cm="1">
        <f t="array" aca="1" ref="C774" ca="1">IF(ISNA(B774),"",dice(F$2,F$3))</f>
        <v>10</v>
      </c>
    </row>
    <row r="775" spans="2:3" x14ac:dyDescent="0.25">
      <c r="B775" s="29">
        <f t="shared" si="13"/>
        <v>769</v>
      </c>
      <c r="C775" s="35" cm="1">
        <f t="array" aca="1" ref="C775" ca="1">IF(ISNA(B775),"",dice(F$2,F$3))</f>
        <v>8</v>
      </c>
    </row>
    <row r="776" spans="2:3" x14ac:dyDescent="0.25">
      <c r="B776" s="29">
        <f t="shared" si="13"/>
        <v>770</v>
      </c>
      <c r="C776" s="35" cm="1">
        <f t="array" aca="1" ref="C776" ca="1">IF(ISNA(B776),"",dice(F$2,F$3))</f>
        <v>6</v>
      </c>
    </row>
    <row r="777" spans="2:3" x14ac:dyDescent="0.25">
      <c r="B777" s="29">
        <f t="shared" ref="B777:B840" si="14">IF(B776&lt;F$4,B776+1,NA())</f>
        <v>771</v>
      </c>
      <c r="C777" s="35" cm="1">
        <f t="array" aca="1" ref="C777" ca="1">IF(ISNA(B777),"",dice(F$2,F$3))</f>
        <v>9</v>
      </c>
    </row>
    <row r="778" spans="2:3" x14ac:dyDescent="0.25">
      <c r="B778" s="29">
        <f t="shared" si="14"/>
        <v>772</v>
      </c>
      <c r="C778" s="35" cm="1">
        <f t="array" aca="1" ref="C778" ca="1">IF(ISNA(B778),"",dice(F$2,F$3))</f>
        <v>10</v>
      </c>
    </row>
    <row r="779" spans="2:3" x14ac:dyDescent="0.25">
      <c r="B779" s="29">
        <f t="shared" si="14"/>
        <v>773</v>
      </c>
      <c r="C779" s="35" cm="1">
        <f t="array" aca="1" ref="C779" ca="1">IF(ISNA(B779),"",dice(F$2,F$3))</f>
        <v>9</v>
      </c>
    </row>
    <row r="780" spans="2:3" x14ac:dyDescent="0.25">
      <c r="B780" s="29">
        <f t="shared" si="14"/>
        <v>774</v>
      </c>
      <c r="C780" s="35" cm="1">
        <f t="array" aca="1" ref="C780" ca="1">IF(ISNA(B780),"",dice(F$2,F$3))</f>
        <v>13</v>
      </c>
    </row>
    <row r="781" spans="2:3" x14ac:dyDescent="0.25">
      <c r="B781" s="29">
        <f t="shared" si="14"/>
        <v>775</v>
      </c>
      <c r="C781" s="35" cm="1">
        <f t="array" aca="1" ref="C781" ca="1">IF(ISNA(B781),"",dice(F$2,F$3))</f>
        <v>11</v>
      </c>
    </row>
    <row r="782" spans="2:3" x14ac:dyDescent="0.25">
      <c r="B782" s="29">
        <f t="shared" si="14"/>
        <v>776</v>
      </c>
      <c r="C782" s="35" cm="1">
        <f t="array" aca="1" ref="C782" ca="1">IF(ISNA(B782),"",dice(F$2,F$3))</f>
        <v>7</v>
      </c>
    </row>
    <row r="783" spans="2:3" x14ac:dyDescent="0.25">
      <c r="B783" s="29">
        <f t="shared" si="14"/>
        <v>777</v>
      </c>
      <c r="C783" s="35" cm="1">
        <f t="array" aca="1" ref="C783" ca="1">IF(ISNA(B783),"",dice(F$2,F$3))</f>
        <v>8</v>
      </c>
    </row>
    <row r="784" spans="2:3" x14ac:dyDescent="0.25">
      <c r="B784" s="29">
        <f t="shared" si="14"/>
        <v>778</v>
      </c>
      <c r="C784" s="35" cm="1">
        <f t="array" aca="1" ref="C784" ca="1">IF(ISNA(B784),"",dice(F$2,F$3))</f>
        <v>12</v>
      </c>
    </row>
    <row r="785" spans="2:3" x14ac:dyDescent="0.25">
      <c r="B785" s="29">
        <f t="shared" si="14"/>
        <v>779</v>
      </c>
      <c r="C785" s="35" cm="1">
        <f t="array" aca="1" ref="C785" ca="1">IF(ISNA(B785),"",dice(F$2,F$3))</f>
        <v>11</v>
      </c>
    </row>
    <row r="786" spans="2:3" x14ac:dyDescent="0.25">
      <c r="B786" s="29">
        <f t="shared" si="14"/>
        <v>780</v>
      </c>
      <c r="C786" s="35" cm="1">
        <f t="array" aca="1" ref="C786" ca="1">IF(ISNA(B786),"",dice(F$2,F$3))</f>
        <v>6</v>
      </c>
    </row>
    <row r="787" spans="2:3" x14ac:dyDescent="0.25">
      <c r="B787" s="29">
        <f t="shared" si="14"/>
        <v>781</v>
      </c>
      <c r="C787" s="35" cm="1">
        <f t="array" aca="1" ref="C787" ca="1">IF(ISNA(B787),"",dice(F$2,F$3))</f>
        <v>7</v>
      </c>
    </row>
    <row r="788" spans="2:3" x14ac:dyDescent="0.25">
      <c r="B788" s="29">
        <f t="shared" si="14"/>
        <v>782</v>
      </c>
      <c r="C788" s="35" cm="1">
        <f t="array" aca="1" ref="C788" ca="1">IF(ISNA(B788),"",dice(F$2,F$3))</f>
        <v>7</v>
      </c>
    </row>
    <row r="789" spans="2:3" x14ac:dyDescent="0.25">
      <c r="B789" s="29">
        <f t="shared" si="14"/>
        <v>783</v>
      </c>
      <c r="C789" s="35" cm="1">
        <f t="array" aca="1" ref="C789" ca="1">IF(ISNA(B789),"",dice(F$2,F$3))</f>
        <v>12</v>
      </c>
    </row>
    <row r="790" spans="2:3" x14ac:dyDescent="0.25">
      <c r="B790" s="29">
        <f t="shared" si="14"/>
        <v>784</v>
      </c>
      <c r="C790" s="35" cm="1">
        <f t="array" aca="1" ref="C790" ca="1">IF(ISNA(B790),"",dice(F$2,F$3))</f>
        <v>6</v>
      </c>
    </row>
    <row r="791" spans="2:3" x14ac:dyDescent="0.25">
      <c r="B791" s="29">
        <f t="shared" si="14"/>
        <v>785</v>
      </c>
      <c r="C791" s="35" cm="1">
        <f t="array" aca="1" ref="C791" ca="1">IF(ISNA(B791),"",dice(F$2,F$3))</f>
        <v>11</v>
      </c>
    </row>
    <row r="792" spans="2:3" x14ac:dyDescent="0.25">
      <c r="B792" s="29">
        <f t="shared" si="14"/>
        <v>786</v>
      </c>
      <c r="C792" s="35" cm="1">
        <f t="array" aca="1" ref="C792" ca="1">IF(ISNA(B792),"",dice(F$2,F$3))</f>
        <v>11</v>
      </c>
    </row>
    <row r="793" spans="2:3" x14ac:dyDescent="0.25">
      <c r="B793" s="29">
        <f t="shared" si="14"/>
        <v>787</v>
      </c>
      <c r="C793" s="35" cm="1">
        <f t="array" aca="1" ref="C793" ca="1">IF(ISNA(B793),"",dice(F$2,F$3))</f>
        <v>13</v>
      </c>
    </row>
    <row r="794" spans="2:3" x14ac:dyDescent="0.25">
      <c r="B794" s="29">
        <f t="shared" si="14"/>
        <v>788</v>
      </c>
      <c r="C794" s="35" cm="1">
        <f t="array" aca="1" ref="C794" ca="1">IF(ISNA(B794),"",dice(F$2,F$3))</f>
        <v>15</v>
      </c>
    </row>
    <row r="795" spans="2:3" x14ac:dyDescent="0.25">
      <c r="B795" s="29">
        <f t="shared" si="14"/>
        <v>789</v>
      </c>
      <c r="C795" s="35" cm="1">
        <f t="array" aca="1" ref="C795" ca="1">IF(ISNA(B795),"",dice(F$2,F$3))</f>
        <v>13</v>
      </c>
    </row>
    <row r="796" spans="2:3" x14ac:dyDescent="0.25">
      <c r="B796" s="29">
        <f t="shared" si="14"/>
        <v>790</v>
      </c>
      <c r="C796" s="35" cm="1">
        <f t="array" aca="1" ref="C796" ca="1">IF(ISNA(B796),"",dice(F$2,F$3))</f>
        <v>8</v>
      </c>
    </row>
    <row r="797" spans="2:3" x14ac:dyDescent="0.25">
      <c r="B797" s="29">
        <f t="shared" si="14"/>
        <v>791</v>
      </c>
      <c r="C797" s="35" cm="1">
        <f t="array" aca="1" ref="C797" ca="1">IF(ISNA(B797),"",dice(F$2,F$3))</f>
        <v>11</v>
      </c>
    </row>
    <row r="798" spans="2:3" x14ac:dyDescent="0.25">
      <c r="B798" s="29">
        <f t="shared" si="14"/>
        <v>792</v>
      </c>
      <c r="C798" s="35" cm="1">
        <f t="array" aca="1" ref="C798" ca="1">IF(ISNA(B798),"",dice(F$2,F$3))</f>
        <v>17</v>
      </c>
    </row>
    <row r="799" spans="2:3" x14ac:dyDescent="0.25">
      <c r="B799" s="29">
        <f t="shared" si="14"/>
        <v>793</v>
      </c>
      <c r="C799" s="35" cm="1">
        <f t="array" aca="1" ref="C799" ca="1">IF(ISNA(B799),"",dice(F$2,F$3))</f>
        <v>17</v>
      </c>
    </row>
    <row r="800" spans="2:3" x14ac:dyDescent="0.25">
      <c r="B800" s="29">
        <f t="shared" si="14"/>
        <v>794</v>
      </c>
      <c r="C800" s="35" cm="1">
        <f t="array" aca="1" ref="C800" ca="1">IF(ISNA(B800),"",dice(F$2,F$3))</f>
        <v>14</v>
      </c>
    </row>
    <row r="801" spans="2:3" x14ac:dyDescent="0.25">
      <c r="B801" s="29">
        <f t="shared" si="14"/>
        <v>795</v>
      </c>
      <c r="C801" s="35" cm="1">
        <f t="array" aca="1" ref="C801" ca="1">IF(ISNA(B801),"",dice(F$2,F$3))</f>
        <v>16</v>
      </c>
    </row>
    <row r="802" spans="2:3" x14ac:dyDescent="0.25">
      <c r="B802" s="29">
        <f t="shared" si="14"/>
        <v>796</v>
      </c>
      <c r="C802" s="35" cm="1">
        <f t="array" aca="1" ref="C802" ca="1">IF(ISNA(B802),"",dice(F$2,F$3))</f>
        <v>13</v>
      </c>
    </row>
    <row r="803" spans="2:3" x14ac:dyDescent="0.25">
      <c r="B803" s="29">
        <f t="shared" si="14"/>
        <v>797</v>
      </c>
      <c r="C803" s="35" cm="1">
        <f t="array" aca="1" ref="C803" ca="1">IF(ISNA(B803),"",dice(F$2,F$3))</f>
        <v>11</v>
      </c>
    </row>
    <row r="804" spans="2:3" x14ac:dyDescent="0.25">
      <c r="B804" s="29">
        <f t="shared" si="14"/>
        <v>798</v>
      </c>
      <c r="C804" s="35" cm="1">
        <f t="array" aca="1" ref="C804" ca="1">IF(ISNA(B804),"",dice(F$2,F$3))</f>
        <v>13</v>
      </c>
    </row>
    <row r="805" spans="2:3" x14ac:dyDescent="0.25">
      <c r="B805" s="29">
        <f t="shared" si="14"/>
        <v>799</v>
      </c>
      <c r="C805" s="35" cm="1">
        <f t="array" aca="1" ref="C805" ca="1">IF(ISNA(B805),"",dice(F$2,F$3))</f>
        <v>11</v>
      </c>
    </row>
    <row r="806" spans="2:3" x14ac:dyDescent="0.25">
      <c r="B806" s="29">
        <f t="shared" si="14"/>
        <v>800</v>
      </c>
      <c r="C806" s="35" cm="1">
        <f t="array" aca="1" ref="C806" ca="1">IF(ISNA(B806),"",dice(F$2,F$3))</f>
        <v>12</v>
      </c>
    </row>
    <row r="807" spans="2:3" x14ac:dyDescent="0.25">
      <c r="B807" s="29">
        <f t="shared" si="14"/>
        <v>801</v>
      </c>
      <c r="C807" s="35" cm="1">
        <f t="array" aca="1" ref="C807" ca="1">IF(ISNA(B807),"",dice(F$2,F$3))</f>
        <v>9</v>
      </c>
    </row>
    <row r="808" spans="2:3" x14ac:dyDescent="0.25">
      <c r="B808" s="29">
        <f t="shared" si="14"/>
        <v>802</v>
      </c>
      <c r="C808" s="35" cm="1">
        <f t="array" aca="1" ref="C808" ca="1">IF(ISNA(B808),"",dice(F$2,F$3))</f>
        <v>7</v>
      </c>
    </row>
    <row r="809" spans="2:3" x14ac:dyDescent="0.25">
      <c r="B809" s="29">
        <f t="shared" si="14"/>
        <v>803</v>
      </c>
      <c r="C809" s="35" cm="1">
        <f t="array" aca="1" ref="C809" ca="1">IF(ISNA(B809),"",dice(F$2,F$3))</f>
        <v>9</v>
      </c>
    </row>
    <row r="810" spans="2:3" x14ac:dyDescent="0.25">
      <c r="B810" s="29">
        <f t="shared" si="14"/>
        <v>804</v>
      </c>
      <c r="C810" s="35" cm="1">
        <f t="array" aca="1" ref="C810" ca="1">IF(ISNA(B810),"",dice(F$2,F$3))</f>
        <v>13</v>
      </c>
    </row>
    <row r="811" spans="2:3" x14ac:dyDescent="0.25">
      <c r="B811" s="29">
        <f t="shared" si="14"/>
        <v>805</v>
      </c>
      <c r="C811" s="35" cm="1">
        <f t="array" aca="1" ref="C811" ca="1">IF(ISNA(B811),"",dice(F$2,F$3))</f>
        <v>10</v>
      </c>
    </row>
    <row r="812" spans="2:3" x14ac:dyDescent="0.25">
      <c r="B812" s="29">
        <f t="shared" si="14"/>
        <v>806</v>
      </c>
      <c r="C812" s="35" cm="1">
        <f t="array" aca="1" ref="C812" ca="1">IF(ISNA(B812),"",dice(F$2,F$3))</f>
        <v>10</v>
      </c>
    </row>
    <row r="813" spans="2:3" x14ac:dyDescent="0.25">
      <c r="B813" s="29">
        <f t="shared" si="14"/>
        <v>807</v>
      </c>
      <c r="C813" s="35" cm="1">
        <f t="array" aca="1" ref="C813" ca="1">IF(ISNA(B813),"",dice(F$2,F$3))</f>
        <v>13</v>
      </c>
    </row>
    <row r="814" spans="2:3" x14ac:dyDescent="0.25">
      <c r="B814" s="29">
        <f t="shared" si="14"/>
        <v>808</v>
      </c>
      <c r="C814" s="35" cm="1">
        <f t="array" aca="1" ref="C814" ca="1">IF(ISNA(B814),"",dice(F$2,F$3))</f>
        <v>13</v>
      </c>
    </row>
    <row r="815" spans="2:3" x14ac:dyDescent="0.25">
      <c r="B815" s="29">
        <f t="shared" si="14"/>
        <v>809</v>
      </c>
      <c r="C815" s="35" cm="1">
        <f t="array" aca="1" ref="C815" ca="1">IF(ISNA(B815),"",dice(F$2,F$3))</f>
        <v>12</v>
      </c>
    </row>
    <row r="816" spans="2:3" x14ac:dyDescent="0.25">
      <c r="B816" s="29">
        <f t="shared" si="14"/>
        <v>810</v>
      </c>
      <c r="C816" s="35" cm="1">
        <f t="array" aca="1" ref="C816" ca="1">IF(ISNA(B816),"",dice(F$2,F$3))</f>
        <v>11</v>
      </c>
    </row>
    <row r="817" spans="2:3" x14ac:dyDescent="0.25">
      <c r="B817" s="29">
        <f t="shared" si="14"/>
        <v>811</v>
      </c>
      <c r="C817" s="35" cm="1">
        <f t="array" aca="1" ref="C817" ca="1">IF(ISNA(B817),"",dice(F$2,F$3))</f>
        <v>11</v>
      </c>
    </row>
    <row r="818" spans="2:3" x14ac:dyDescent="0.25">
      <c r="B818" s="29">
        <f t="shared" si="14"/>
        <v>812</v>
      </c>
      <c r="C818" s="35" cm="1">
        <f t="array" aca="1" ref="C818" ca="1">IF(ISNA(B818),"",dice(F$2,F$3))</f>
        <v>12</v>
      </c>
    </row>
    <row r="819" spans="2:3" x14ac:dyDescent="0.25">
      <c r="B819" s="29">
        <f t="shared" si="14"/>
        <v>813</v>
      </c>
      <c r="C819" s="35" cm="1">
        <f t="array" aca="1" ref="C819" ca="1">IF(ISNA(B819),"",dice(F$2,F$3))</f>
        <v>7</v>
      </c>
    </row>
    <row r="820" spans="2:3" x14ac:dyDescent="0.25">
      <c r="B820" s="29">
        <f t="shared" si="14"/>
        <v>814</v>
      </c>
      <c r="C820" s="35" cm="1">
        <f t="array" aca="1" ref="C820" ca="1">IF(ISNA(B820),"",dice(F$2,F$3))</f>
        <v>11</v>
      </c>
    </row>
    <row r="821" spans="2:3" x14ac:dyDescent="0.25">
      <c r="B821" s="29">
        <f t="shared" si="14"/>
        <v>815</v>
      </c>
      <c r="C821" s="35" cm="1">
        <f t="array" aca="1" ref="C821" ca="1">IF(ISNA(B821),"",dice(F$2,F$3))</f>
        <v>8</v>
      </c>
    </row>
    <row r="822" spans="2:3" x14ac:dyDescent="0.25">
      <c r="B822" s="29">
        <f t="shared" si="14"/>
        <v>816</v>
      </c>
      <c r="C822" s="35" cm="1">
        <f t="array" aca="1" ref="C822" ca="1">IF(ISNA(B822),"",dice(F$2,F$3))</f>
        <v>15</v>
      </c>
    </row>
    <row r="823" spans="2:3" x14ac:dyDescent="0.25">
      <c r="B823" s="29">
        <f t="shared" si="14"/>
        <v>817</v>
      </c>
      <c r="C823" s="35" cm="1">
        <f t="array" aca="1" ref="C823" ca="1">IF(ISNA(B823),"",dice(F$2,F$3))</f>
        <v>6</v>
      </c>
    </row>
    <row r="824" spans="2:3" x14ac:dyDescent="0.25">
      <c r="B824" s="29">
        <f t="shared" si="14"/>
        <v>818</v>
      </c>
      <c r="C824" s="35" cm="1">
        <f t="array" aca="1" ref="C824" ca="1">IF(ISNA(B824),"",dice(F$2,F$3))</f>
        <v>14</v>
      </c>
    </row>
    <row r="825" spans="2:3" x14ac:dyDescent="0.25">
      <c r="B825" s="29">
        <f t="shared" si="14"/>
        <v>819</v>
      </c>
      <c r="C825" s="35" cm="1">
        <f t="array" aca="1" ref="C825" ca="1">IF(ISNA(B825),"",dice(F$2,F$3))</f>
        <v>12</v>
      </c>
    </row>
    <row r="826" spans="2:3" x14ac:dyDescent="0.25">
      <c r="B826" s="29">
        <f t="shared" si="14"/>
        <v>820</v>
      </c>
      <c r="C826" s="35" cm="1">
        <f t="array" aca="1" ref="C826" ca="1">IF(ISNA(B826),"",dice(F$2,F$3))</f>
        <v>11</v>
      </c>
    </row>
    <row r="827" spans="2:3" x14ac:dyDescent="0.25">
      <c r="B827" s="29">
        <f t="shared" si="14"/>
        <v>821</v>
      </c>
      <c r="C827" s="35" cm="1">
        <f t="array" aca="1" ref="C827" ca="1">IF(ISNA(B827),"",dice(F$2,F$3))</f>
        <v>16</v>
      </c>
    </row>
    <row r="828" spans="2:3" x14ac:dyDescent="0.25">
      <c r="B828" s="29">
        <f t="shared" si="14"/>
        <v>822</v>
      </c>
      <c r="C828" s="35" cm="1">
        <f t="array" aca="1" ref="C828" ca="1">IF(ISNA(B828),"",dice(F$2,F$3))</f>
        <v>8</v>
      </c>
    </row>
    <row r="829" spans="2:3" x14ac:dyDescent="0.25">
      <c r="B829" s="29">
        <f t="shared" si="14"/>
        <v>823</v>
      </c>
      <c r="C829" s="35" cm="1">
        <f t="array" aca="1" ref="C829" ca="1">IF(ISNA(B829),"",dice(F$2,F$3))</f>
        <v>7</v>
      </c>
    </row>
    <row r="830" spans="2:3" x14ac:dyDescent="0.25">
      <c r="B830" s="29">
        <f t="shared" si="14"/>
        <v>824</v>
      </c>
      <c r="C830" s="35" cm="1">
        <f t="array" aca="1" ref="C830" ca="1">IF(ISNA(B830),"",dice(F$2,F$3))</f>
        <v>12</v>
      </c>
    </row>
    <row r="831" spans="2:3" x14ac:dyDescent="0.25">
      <c r="B831" s="29">
        <f t="shared" si="14"/>
        <v>825</v>
      </c>
      <c r="C831" s="35" cm="1">
        <f t="array" aca="1" ref="C831" ca="1">IF(ISNA(B831),"",dice(F$2,F$3))</f>
        <v>10</v>
      </c>
    </row>
    <row r="832" spans="2:3" x14ac:dyDescent="0.25">
      <c r="B832" s="29">
        <f t="shared" si="14"/>
        <v>826</v>
      </c>
      <c r="C832" s="35" cm="1">
        <f t="array" aca="1" ref="C832" ca="1">IF(ISNA(B832),"",dice(F$2,F$3))</f>
        <v>9</v>
      </c>
    </row>
    <row r="833" spans="2:3" x14ac:dyDescent="0.25">
      <c r="B833" s="29">
        <f t="shared" si="14"/>
        <v>827</v>
      </c>
      <c r="C833" s="35" cm="1">
        <f t="array" aca="1" ref="C833" ca="1">IF(ISNA(B833),"",dice(F$2,F$3))</f>
        <v>12</v>
      </c>
    </row>
    <row r="834" spans="2:3" x14ac:dyDescent="0.25">
      <c r="B834" s="29">
        <f t="shared" si="14"/>
        <v>828</v>
      </c>
      <c r="C834" s="35" cm="1">
        <f t="array" aca="1" ref="C834" ca="1">IF(ISNA(B834),"",dice(F$2,F$3))</f>
        <v>6</v>
      </c>
    </row>
    <row r="835" spans="2:3" x14ac:dyDescent="0.25">
      <c r="B835" s="29">
        <f t="shared" si="14"/>
        <v>829</v>
      </c>
      <c r="C835" s="35" cm="1">
        <f t="array" aca="1" ref="C835" ca="1">IF(ISNA(B835),"",dice(F$2,F$3))</f>
        <v>10</v>
      </c>
    </row>
    <row r="836" spans="2:3" x14ac:dyDescent="0.25">
      <c r="B836" s="29">
        <f t="shared" si="14"/>
        <v>830</v>
      </c>
      <c r="C836" s="35" cm="1">
        <f t="array" aca="1" ref="C836" ca="1">IF(ISNA(B836),"",dice(F$2,F$3))</f>
        <v>12</v>
      </c>
    </row>
    <row r="837" spans="2:3" x14ac:dyDescent="0.25">
      <c r="B837" s="29">
        <f t="shared" si="14"/>
        <v>831</v>
      </c>
      <c r="C837" s="35" cm="1">
        <f t="array" aca="1" ref="C837" ca="1">IF(ISNA(B837),"",dice(F$2,F$3))</f>
        <v>9</v>
      </c>
    </row>
    <row r="838" spans="2:3" x14ac:dyDescent="0.25">
      <c r="B838" s="29">
        <f t="shared" si="14"/>
        <v>832</v>
      </c>
      <c r="C838" s="35" cm="1">
        <f t="array" aca="1" ref="C838" ca="1">IF(ISNA(B838),"",dice(F$2,F$3))</f>
        <v>12</v>
      </c>
    </row>
    <row r="839" spans="2:3" x14ac:dyDescent="0.25">
      <c r="B839" s="29">
        <f t="shared" si="14"/>
        <v>833</v>
      </c>
      <c r="C839" s="35" cm="1">
        <f t="array" aca="1" ref="C839" ca="1">IF(ISNA(B839),"",dice(F$2,F$3))</f>
        <v>17</v>
      </c>
    </row>
    <row r="840" spans="2:3" x14ac:dyDescent="0.25">
      <c r="B840" s="29">
        <f t="shared" si="14"/>
        <v>834</v>
      </c>
      <c r="C840" s="35" cm="1">
        <f t="array" aca="1" ref="C840" ca="1">IF(ISNA(B840),"",dice(F$2,F$3))</f>
        <v>10</v>
      </c>
    </row>
    <row r="841" spans="2:3" x14ac:dyDescent="0.25">
      <c r="B841" s="29">
        <f t="shared" ref="B841:B904" si="15">IF(B840&lt;F$4,B840+1,NA())</f>
        <v>835</v>
      </c>
      <c r="C841" s="35" cm="1">
        <f t="array" aca="1" ref="C841" ca="1">IF(ISNA(B841),"",dice(F$2,F$3))</f>
        <v>9</v>
      </c>
    </row>
    <row r="842" spans="2:3" x14ac:dyDescent="0.25">
      <c r="B842" s="29">
        <f t="shared" si="15"/>
        <v>836</v>
      </c>
      <c r="C842" s="35" cm="1">
        <f t="array" aca="1" ref="C842" ca="1">IF(ISNA(B842),"",dice(F$2,F$3))</f>
        <v>13</v>
      </c>
    </row>
    <row r="843" spans="2:3" x14ac:dyDescent="0.25">
      <c r="B843" s="29">
        <f t="shared" si="15"/>
        <v>837</v>
      </c>
      <c r="C843" s="35" cm="1">
        <f t="array" aca="1" ref="C843" ca="1">IF(ISNA(B843),"",dice(F$2,F$3))</f>
        <v>7</v>
      </c>
    </row>
    <row r="844" spans="2:3" x14ac:dyDescent="0.25">
      <c r="B844" s="29">
        <f t="shared" si="15"/>
        <v>838</v>
      </c>
      <c r="C844" s="35" cm="1">
        <f t="array" aca="1" ref="C844" ca="1">IF(ISNA(B844),"",dice(F$2,F$3))</f>
        <v>6</v>
      </c>
    </row>
    <row r="845" spans="2:3" x14ac:dyDescent="0.25">
      <c r="B845" s="29">
        <f t="shared" si="15"/>
        <v>839</v>
      </c>
      <c r="C845" s="35" cm="1">
        <f t="array" aca="1" ref="C845" ca="1">IF(ISNA(B845),"",dice(F$2,F$3))</f>
        <v>13</v>
      </c>
    </row>
    <row r="846" spans="2:3" x14ac:dyDescent="0.25">
      <c r="B846" s="29">
        <f t="shared" si="15"/>
        <v>840</v>
      </c>
      <c r="C846" s="35" cm="1">
        <f t="array" aca="1" ref="C846" ca="1">IF(ISNA(B846),"",dice(F$2,F$3))</f>
        <v>10</v>
      </c>
    </row>
    <row r="847" spans="2:3" x14ac:dyDescent="0.25">
      <c r="B847" s="29">
        <f t="shared" si="15"/>
        <v>841</v>
      </c>
      <c r="C847" s="35" cm="1">
        <f t="array" aca="1" ref="C847" ca="1">IF(ISNA(B847),"",dice(F$2,F$3))</f>
        <v>7</v>
      </c>
    </row>
    <row r="848" spans="2:3" x14ac:dyDescent="0.25">
      <c r="B848" s="29">
        <f t="shared" si="15"/>
        <v>842</v>
      </c>
      <c r="C848" s="35" cm="1">
        <f t="array" aca="1" ref="C848" ca="1">IF(ISNA(B848),"",dice(F$2,F$3))</f>
        <v>12</v>
      </c>
    </row>
    <row r="849" spans="2:3" x14ac:dyDescent="0.25">
      <c r="B849" s="29">
        <f t="shared" si="15"/>
        <v>843</v>
      </c>
      <c r="C849" s="35" cm="1">
        <f t="array" aca="1" ref="C849" ca="1">IF(ISNA(B849),"",dice(F$2,F$3))</f>
        <v>8</v>
      </c>
    </row>
    <row r="850" spans="2:3" x14ac:dyDescent="0.25">
      <c r="B850" s="29">
        <f t="shared" si="15"/>
        <v>844</v>
      </c>
      <c r="C850" s="35" cm="1">
        <f t="array" aca="1" ref="C850" ca="1">IF(ISNA(B850),"",dice(F$2,F$3))</f>
        <v>15</v>
      </c>
    </row>
    <row r="851" spans="2:3" x14ac:dyDescent="0.25">
      <c r="B851" s="29">
        <f t="shared" si="15"/>
        <v>845</v>
      </c>
      <c r="C851" s="35" cm="1">
        <f t="array" aca="1" ref="C851" ca="1">IF(ISNA(B851),"",dice(F$2,F$3))</f>
        <v>7</v>
      </c>
    </row>
    <row r="852" spans="2:3" x14ac:dyDescent="0.25">
      <c r="B852" s="29">
        <f t="shared" si="15"/>
        <v>846</v>
      </c>
      <c r="C852" s="35" cm="1">
        <f t="array" aca="1" ref="C852" ca="1">IF(ISNA(B852),"",dice(F$2,F$3))</f>
        <v>18</v>
      </c>
    </row>
    <row r="853" spans="2:3" x14ac:dyDescent="0.25">
      <c r="B853" s="29">
        <f t="shared" si="15"/>
        <v>847</v>
      </c>
      <c r="C853" s="35" cm="1">
        <f t="array" aca="1" ref="C853" ca="1">IF(ISNA(B853),"",dice(F$2,F$3))</f>
        <v>11</v>
      </c>
    </row>
    <row r="854" spans="2:3" x14ac:dyDescent="0.25">
      <c r="B854" s="29">
        <f t="shared" si="15"/>
        <v>848</v>
      </c>
      <c r="C854" s="35" cm="1">
        <f t="array" aca="1" ref="C854" ca="1">IF(ISNA(B854),"",dice(F$2,F$3))</f>
        <v>4</v>
      </c>
    </row>
    <row r="855" spans="2:3" x14ac:dyDescent="0.25">
      <c r="B855" s="29">
        <f t="shared" si="15"/>
        <v>849</v>
      </c>
      <c r="C855" s="35" cm="1">
        <f t="array" aca="1" ref="C855" ca="1">IF(ISNA(B855),"",dice(F$2,F$3))</f>
        <v>10</v>
      </c>
    </row>
    <row r="856" spans="2:3" x14ac:dyDescent="0.25">
      <c r="B856" s="29">
        <f t="shared" si="15"/>
        <v>850</v>
      </c>
      <c r="C856" s="35" cm="1">
        <f t="array" aca="1" ref="C856" ca="1">IF(ISNA(B856),"",dice(F$2,F$3))</f>
        <v>9</v>
      </c>
    </row>
    <row r="857" spans="2:3" x14ac:dyDescent="0.25">
      <c r="B857" s="29">
        <f t="shared" si="15"/>
        <v>851</v>
      </c>
      <c r="C857" s="35" cm="1">
        <f t="array" aca="1" ref="C857" ca="1">IF(ISNA(B857),"",dice(F$2,F$3))</f>
        <v>16</v>
      </c>
    </row>
    <row r="858" spans="2:3" x14ac:dyDescent="0.25">
      <c r="B858" s="29">
        <f t="shared" si="15"/>
        <v>852</v>
      </c>
      <c r="C858" s="35" cm="1">
        <f t="array" aca="1" ref="C858" ca="1">IF(ISNA(B858),"",dice(F$2,F$3))</f>
        <v>14</v>
      </c>
    </row>
    <row r="859" spans="2:3" x14ac:dyDescent="0.25">
      <c r="B859" s="29">
        <f t="shared" si="15"/>
        <v>853</v>
      </c>
      <c r="C859" s="35" cm="1">
        <f t="array" aca="1" ref="C859" ca="1">IF(ISNA(B859),"",dice(F$2,F$3))</f>
        <v>7</v>
      </c>
    </row>
    <row r="860" spans="2:3" x14ac:dyDescent="0.25">
      <c r="B860" s="29">
        <f t="shared" si="15"/>
        <v>854</v>
      </c>
      <c r="C860" s="35" cm="1">
        <f t="array" aca="1" ref="C860" ca="1">IF(ISNA(B860),"",dice(F$2,F$3))</f>
        <v>8</v>
      </c>
    </row>
    <row r="861" spans="2:3" x14ac:dyDescent="0.25">
      <c r="B861" s="29">
        <f t="shared" si="15"/>
        <v>855</v>
      </c>
      <c r="C861" s="35" cm="1">
        <f t="array" aca="1" ref="C861" ca="1">IF(ISNA(B861),"",dice(F$2,F$3))</f>
        <v>12</v>
      </c>
    </row>
    <row r="862" spans="2:3" x14ac:dyDescent="0.25">
      <c r="B862" s="29">
        <f t="shared" si="15"/>
        <v>856</v>
      </c>
      <c r="C862" s="35" cm="1">
        <f t="array" aca="1" ref="C862" ca="1">IF(ISNA(B862),"",dice(F$2,F$3))</f>
        <v>5</v>
      </c>
    </row>
    <row r="863" spans="2:3" x14ac:dyDescent="0.25">
      <c r="B863" s="29">
        <f t="shared" si="15"/>
        <v>857</v>
      </c>
      <c r="C863" s="35" cm="1">
        <f t="array" aca="1" ref="C863" ca="1">IF(ISNA(B863),"",dice(F$2,F$3))</f>
        <v>13</v>
      </c>
    </row>
    <row r="864" spans="2:3" x14ac:dyDescent="0.25">
      <c r="B864" s="29">
        <f t="shared" si="15"/>
        <v>858</v>
      </c>
      <c r="C864" s="35" cm="1">
        <f t="array" aca="1" ref="C864" ca="1">IF(ISNA(B864),"",dice(F$2,F$3))</f>
        <v>12</v>
      </c>
    </row>
    <row r="865" spans="2:3" x14ac:dyDescent="0.25">
      <c r="B865" s="29">
        <f t="shared" si="15"/>
        <v>859</v>
      </c>
      <c r="C865" s="35" cm="1">
        <f t="array" aca="1" ref="C865" ca="1">IF(ISNA(B865),"",dice(F$2,F$3))</f>
        <v>12</v>
      </c>
    </row>
    <row r="866" spans="2:3" x14ac:dyDescent="0.25">
      <c r="B866" s="29">
        <f t="shared" si="15"/>
        <v>860</v>
      </c>
      <c r="C866" s="35" cm="1">
        <f t="array" aca="1" ref="C866" ca="1">IF(ISNA(B866),"",dice(F$2,F$3))</f>
        <v>14</v>
      </c>
    </row>
    <row r="867" spans="2:3" x14ac:dyDescent="0.25">
      <c r="B867" s="29">
        <f t="shared" si="15"/>
        <v>861</v>
      </c>
      <c r="C867" s="35" cm="1">
        <f t="array" aca="1" ref="C867" ca="1">IF(ISNA(B867),"",dice(F$2,F$3))</f>
        <v>11</v>
      </c>
    </row>
    <row r="868" spans="2:3" x14ac:dyDescent="0.25">
      <c r="B868" s="29">
        <f t="shared" si="15"/>
        <v>862</v>
      </c>
      <c r="C868" s="35" cm="1">
        <f t="array" aca="1" ref="C868" ca="1">IF(ISNA(B868),"",dice(F$2,F$3))</f>
        <v>8</v>
      </c>
    </row>
    <row r="869" spans="2:3" x14ac:dyDescent="0.25">
      <c r="B869" s="29">
        <f t="shared" si="15"/>
        <v>863</v>
      </c>
      <c r="C869" s="35" cm="1">
        <f t="array" aca="1" ref="C869" ca="1">IF(ISNA(B869),"",dice(F$2,F$3))</f>
        <v>15</v>
      </c>
    </row>
    <row r="870" spans="2:3" x14ac:dyDescent="0.25">
      <c r="B870" s="29">
        <f t="shared" si="15"/>
        <v>864</v>
      </c>
      <c r="C870" s="35" cm="1">
        <f t="array" aca="1" ref="C870" ca="1">IF(ISNA(B870),"",dice(F$2,F$3))</f>
        <v>14</v>
      </c>
    </row>
    <row r="871" spans="2:3" x14ac:dyDescent="0.25">
      <c r="B871" s="29">
        <f t="shared" si="15"/>
        <v>865</v>
      </c>
      <c r="C871" s="35" cm="1">
        <f t="array" aca="1" ref="C871" ca="1">IF(ISNA(B871),"",dice(F$2,F$3))</f>
        <v>11</v>
      </c>
    </row>
    <row r="872" spans="2:3" x14ac:dyDescent="0.25">
      <c r="B872" s="29">
        <f t="shared" si="15"/>
        <v>866</v>
      </c>
      <c r="C872" s="35" cm="1">
        <f t="array" aca="1" ref="C872" ca="1">IF(ISNA(B872),"",dice(F$2,F$3))</f>
        <v>14</v>
      </c>
    </row>
    <row r="873" spans="2:3" x14ac:dyDescent="0.25">
      <c r="B873" s="29">
        <f t="shared" si="15"/>
        <v>867</v>
      </c>
      <c r="C873" s="35" cm="1">
        <f t="array" aca="1" ref="C873" ca="1">IF(ISNA(B873),"",dice(F$2,F$3))</f>
        <v>7</v>
      </c>
    </row>
    <row r="874" spans="2:3" x14ac:dyDescent="0.25">
      <c r="B874" s="29">
        <f t="shared" si="15"/>
        <v>868</v>
      </c>
      <c r="C874" s="35" cm="1">
        <f t="array" aca="1" ref="C874" ca="1">IF(ISNA(B874),"",dice(F$2,F$3))</f>
        <v>9</v>
      </c>
    </row>
    <row r="875" spans="2:3" x14ac:dyDescent="0.25">
      <c r="B875" s="29">
        <f t="shared" si="15"/>
        <v>869</v>
      </c>
      <c r="C875" s="35" cm="1">
        <f t="array" aca="1" ref="C875" ca="1">IF(ISNA(B875),"",dice(F$2,F$3))</f>
        <v>14</v>
      </c>
    </row>
    <row r="876" spans="2:3" x14ac:dyDescent="0.25">
      <c r="B876" s="29">
        <f t="shared" si="15"/>
        <v>870</v>
      </c>
      <c r="C876" s="35" cm="1">
        <f t="array" aca="1" ref="C876" ca="1">IF(ISNA(B876),"",dice(F$2,F$3))</f>
        <v>12</v>
      </c>
    </row>
    <row r="877" spans="2:3" x14ac:dyDescent="0.25">
      <c r="B877" s="29">
        <f t="shared" si="15"/>
        <v>871</v>
      </c>
      <c r="C877" s="35" cm="1">
        <f t="array" aca="1" ref="C877" ca="1">IF(ISNA(B877),"",dice(F$2,F$3))</f>
        <v>10</v>
      </c>
    </row>
    <row r="878" spans="2:3" x14ac:dyDescent="0.25">
      <c r="B878" s="29">
        <f t="shared" si="15"/>
        <v>872</v>
      </c>
      <c r="C878" s="35" cm="1">
        <f t="array" aca="1" ref="C878" ca="1">IF(ISNA(B878),"",dice(F$2,F$3))</f>
        <v>15</v>
      </c>
    </row>
    <row r="879" spans="2:3" x14ac:dyDescent="0.25">
      <c r="B879" s="29">
        <f t="shared" si="15"/>
        <v>873</v>
      </c>
      <c r="C879" s="35" cm="1">
        <f t="array" aca="1" ref="C879" ca="1">IF(ISNA(B879),"",dice(F$2,F$3))</f>
        <v>9</v>
      </c>
    </row>
    <row r="880" spans="2:3" x14ac:dyDescent="0.25">
      <c r="B880" s="29">
        <f t="shared" si="15"/>
        <v>874</v>
      </c>
      <c r="C880" s="35" cm="1">
        <f t="array" aca="1" ref="C880" ca="1">IF(ISNA(B880),"",dice(F$2,F$3))</f>
        <v>13</v>
      </c>
    </row>
    <row r="881" spans="2:3" x14ac:dyDescent="0.25">
      <c r="B881" s="29">
        <f t="shared" si="15"/>
        <v>875</v>
      </c>
      <c r="C881" s="35" cm="1">
        <f t="array" aca="1" ref="C881" ca="1">IF(ISNA(B881),"",dice(F$2,F$3))</f>
        <v>15</v>
      </c>
    </row>
    <row r="882" spans="2:3" x14ac:dyDescent="0.25">
      <c r="B882" s="29">
        <f t="shared" si="15"/>
        <v>876</v>
      </c>
      <c r="C882" s="35" cm="1">
        <f t="array" aca="1" ref="C882" ca="1">IF(ISNA(B882),"",dice(F$2,F$3))</f>
        <v>8</v>
      </c>
    </row>
    <row r="883" spans="2:3" x14ac:dyDescent="0.25">
      <c r="B883" s="29">
        <f t="shared" si="15"/>
        <v>877</v>
      </c>
      <c r="C883" s="35" cm="1">
        <f t="array" aca="1" ref="C883" ca="1">IF(ISNA(B883),"",dice(F$2,F$3))</f>
        <v>11</v>
      </c>
    </row>
    <row r="884" spans="2:3" x14ac:dyDescent="0.25">
      <c r="B884" s="29">
        <f t="shared" si="15"/>
        <v>878</v>
      </c>
      <c r="C884" s="35" cm="1">
        <f t="array" aca="1" ref="C884" ca="1">IF(ISNA(B884),"",dice(F$2,F$3))</f>
        <v>15</v>
      </c>
    </row>
    <row r="885" spans="2:3" x14ac:dyDescent="0.25">
      <c r="B885" s="29">
        <f t="shared" si="15"/>
        <v>879</v>
      </c>
      <c r="C885" s="35" cm="1">
        <f t="array" aca="1" ref="C885" ca="1">IF(ISNA(B885),"",dice(F$2,F$3))</f>
        <v>12</v>
      </c>
    </row>
    <row r="886" spans="2:3" x14ac:dyDescent="0.25">
      <c r="B886" s="29">
        <f t="shared" si="15"/>
        <v>880</v>
      </c>
      <c r="C886" s="35" cm="1">
        <f t="array" aca="1" ref="C886" ca="1">IF(ISNA(B886),"",dice(F$2,F$3))</f>
        <v>7</v>
      </c>
    </row>
    <row r="887" spans="2:3" x14ac:dyDescent="0.25">
      <c r="B887" s="29">
        <f t="shared" si="15"/>
        <v>881</v>
      </c>
      <c r="C887" s="35" cm="1">
        <f t="array" aca="1" ref="C887" ca="1">IF(ISNA(B887),"",dice(F$2,F$3))</f>
        <v>16</v>
      </c>
    </row>
    <row r="888" spans="2:3" x14ac:dyDescent="0.25">
      <c r="B888" s="29">
        <f t="shared" si="15"/>
        <v>882</v>
      </c>
      <c r="C888" s="35" cm="1">
        <f t="array" aca="1" ref="C888" ca="1">IF(ISNA(B888),"",dice(F$2,F$3))</f>
        <v>14</v>
      </c>
    </row>
    <row r="889" spans="2:3" x14ac:dyDescent="0.25">
      <c r="B889" s="29">
        <f t="shared" si="15"/>
        <v>883</v>
      </c>
      <c r="C889" s="35" cm="1">
        <f t="array" aca="1" ref="C889" ca="1">IF(ISNA(B889),"",dice(F$2,F$3))</f>
        <v>10</v>
      </c>
    </row>
    <row r="890" spans="2:3" x14ac:dyDescent="0.25">
      <c r="B890" s="29">
        <f t="shared" si="15"/>
        <v>884</v>
      </c>
      <c r="C890" s="35" cm="1">
        <f t="array" aca="1" ref="C890" ca="1">IF(ISNA(B890),"",dice(F$2,F$3))</f>
        <v>11</v>
      </c>
    </row>
    <row r="891" spans="2:3" x14ac:dyDescent="0.25">
      <c r="B891" s="29">
        <f t="shared" si="15"/>
        <v>885</v>
      </c>
      <c r="C891" s="35" cm="1">
        <f t="array" aca="1" ref="C891" ca="1">IF(ISNA(B891),"",dice(F$2,F$3))</f>
        <v>11</v>
      </c>
    </row>
    <row r="892" spans="2:3" x14ac:dyDescent="0.25">
      <c r="B892" s="29">
        <f t="shared" si="15"/>
        <v>886</v>
      </c>
      <c r="C892" s="35" cm="1">
        <f t="array" aca="1" ref="C892" ca="1">IF(ISNA(B892),"",dice(F$2,F$3))</f>
        <v>6</v>
      </c>
    </row>
    <row r="893" spans="2:3" x14ac:dyDescent="0.25">
      <c r="B893" s="29">
        <f t="shared" si="15"/>
        <v>887</v>
      </c>
      <c r="C893" s="35" cm="1">
        <f t="array" aca="1" ref="C893" ca="1">IF(ISNA(B893),"",dice(F$2,F$3))</f>
        <v>11</v>
      </c>
    </row>
    <row r="894" spans="2:3" x14ac:dyDescent="0.25">
      <c r="B894" s="29">
        <f t="shared" si="15"/>
        <v>888</v>
      </c>
      <c r="C894" s="35" cm="1">
        <f t="array" aca="1" ref="C894" ca="1">IF(ISNA(B894),"",dice(F$2,F$3))</f>
        <v>16</v>
      </c>
    </row>
    <row r="895" spans="2:3" x14ac:dyDescent="0.25">
      <c r="B895" s="29">
        <f t="shared" si="15"/>
        <v>889</v>
      </c>
      <c r="C895" s="35" cm="1">
        <f t="array" aca="1" ref="C895" ca="1">IF(ISNA(B895),"",dice(F$2,F$3))</f>
        <v>12</v>
      </c>
    </row>
    <row r="896" spans="2:3" x14ac:dyDescent="0.25">
      <c r="B896" s="29">
        <f t="shared" si="15"/>
        <v>890</v>
      </c>
      <c r="C896" s="35" cm="1">
        <f t="array" aca="1" ref="C896" ca="1">IF(ISNA(B896),"",dice(F$2,F$3))</f>
        <v>8</v>
      </c>
    </row>
    <row r="897" spans="2:3" x14ac:dyDescent="0.25">
      <c r="B897" s="29">
        <f t="shared" si="15"/>
        <v>891</v>
      </c>
      <c r="C897" s="35" cm="1">
        <f t="array" aca="1" ref="C897" ca="1">IF(ISNA(B897),"",dice(F$2,F$3))</f>
        <v>8</v>
      </c>
    </row>
    <row r="898" spans="2:3" x14ac:dyDescent="0.25">
      <c r="B898" s="29">
        <f t="shared" si="15"/>
        <v>892</v>
      </c>
      <c r="C898" s="35" cm="1">
        <f t="array" aca="1" ref="C898" ca="1">IF(ISNA(B898),"",dice(F$2,F$3))</f>
        <v>11</v>
      </c>
    </row>
    <row r="899" spans="2:3" x14ac:dyDescent="0.25">
      <c r="B899" s="29">
        <f t="shared" si="15"/>
        <v>893</v>
      </c>
      <c r="C899" s="35" cm="1">
        <f t="array" aca="1" ref="C899" ca="1">IF(ISNA(B899),"",dice(F$2,F$3))</f>
        <v>8</v>
      </c>
    </row>
    <row r="900" spans="2:3" x14ac:dyDescent="0.25">
      <c r="B900" s="29">
        <f t="shared" si="15"/>
        <v>894</v>
      </c>
      <c r="C900" s="35" cm="1">
        <f t="array" aca="1" ref="C900" ca="1">IF(ISNA(B900),"",dice(F$2,F$3))</f>
        <v>5</v>
      </c>
    </row>
    <row r="901" spans="2:3" x14ac:dyDescent="0.25">
      <c r="B901" s="29">
        <f t="shared" si="15"/>
        <v>895</v>
      </c>
      <c r="C901" s="35" cm="1">
        <f t="array" aca="1" ref="C901" ca="1">IF(ISNA(B901),"",dice(F$2,F$3))</f>
        <v>12</v>
      </c>
    </row>
    <row r="902" spans="2:3" x14ac:dyDescent="0.25">
      <c r="B902" s="29">
        <f t="shared" si="15"/>
        <v>896</v>
      </c>
      <c r="C902" s="35" cm="1">
        <f t="array" aca="1" ref="C902" ca="1">IF(ISNA(B902),"",dice(F$2,F$3))</f>
        <v>12</v>
      </c>
    </row>
    <row r="903" spans="2:3" x14ac:dyDescent="0.25">
      <c r="B903" s="29">
        <f t="shared" si="15"/>
        <v>897</v>
      </c>
      <c r="C903" s="35" cm="1">
        <f t="array" aca="1" ref="C903" ca="1">IF(ISNA(B903),"",dice(F$2,F$3))</f>
        <v>14</v>
      </c>
    </row>
    <row r="904" spans="2:3" x14ac:dyDescent="0.25">
      <c r="B904" s="29">
        <f t="shared" si="15"/>
        <v>898</v>
      </c>
      <c r="C904" s="35" cm="1">
        <f t="array" aca="1" ref="C904" ca="1">IF(ISNA(B904),"",dice(F$2,F$3))</f>
        <v>9</v>
      </c>
    </row>
    <row r="905" spans="2:3" x14ac:dyDescent="0.25">
      <c r="B905" s="29">
        <f t="shared" ref="B905:B968" si="16">IF(B904&lt;F$4,B904+1,NA())</f>
        <v>899</v>
      </c>
      <c r="C905" s="35" cm="1">
        <f t="array" aca="1" ref="C905" ca="1">IF(ISNA(B905),"",dice(F$2,F$3))</f>
        <v>7</v>
      </c>
    </row>
    <row r="906" spans="2:3" x14ac:dyDescent="0.25">
      <c r="B906" s="29">
        <f t="shared" si="16"/>
        <v>900</v>
      </c>
      <c r="C906" s="35" cm="1">
        <f t="array" aca="1" ref="C906" ca="1">IF(ISNA(B906),"",dice(F$2,F$3))</f>
        <v>11</v>
      </c>
    </row>
    <row r="907" spans="2:3" x14ac:dyDescent="0.25">
      <c r="B907" s="29">
        <f t="shared" si="16"/>
        <v>901</v>
      </c>
      <c r="C907" s="35" cm="1">
        <f t="array" aca="1" ref="C907" ca="1">IF(ISNA(B907),"",dice(F$2,F$3))</f>
        <v>10</v>
      </c>
    </row>
    <row r="908" spans="2:3" x14ac:dyDescent="0.25">
      <c r="B908" s="29">
        <f t="shared" si="16"/>
        <v>902</v>
      </c>
      <c r="C908" s="35" cm="1">
        <f t="array" aca="1" ref="C908" ca="1">IF(ISNA(B908),"",dice(F$2,F$3))</f>
        <v>14</v>
      </c>
    </row>
    <row r="909" spans="2:3" x14ac:dyDescent="0.25">
      <c r="B909" s="29">
        <f t="shared" si="16"/>
        <v>903</v>
      </c>
      <c r="C909" s="35" cm="1">
        <f t="array" aca="1" ref="C909" ca="1">IF(ISNA(B909),"",dice(F$2,F$3))</f>
        <v>12</v>
      </c>
    </row>
    <row r="910" spans="2:3" x14ac:dyDescent="0.25">
      <c r="B910" s="29">
        <f t="shared" si="16"/>
        <v>904</v>
      </c>
      <c r="C910" s="35" cm="1">
        <f t="array" aca="1" ref="C910" ca="1">IF(ISNA(B910),"",dice(F$2,F$3))</f>
        <v>14</v>
      </c>
    </row>
    <row r="911" spans="2:3" x14ac:dyDescent="0.25">
      <c r="B911" s="29">
        <f t="shared" si="16"/>
        <v>905</v>
      </c>
      <c r="C911" s="35" cm="1">
        <f t="array" aca="1" ref="C911" ca="1">IF(ISNA(B911),"",dice(F$2,F$3))</f>
        <v>10</v>
      </c>
    </row>
    <row r="912" spans="2:3" x14ac:dyDescent="0.25">
      <c r="B912" s="29">
        <f t="shared" si="16"/>
        <v>906</v>
      </c>
      <c r="C912" s="35" cm="1">
        <f t="array" aca="1" ref="C912" ca="1">IF(ISNA(B912),"",dice(F$2,F$3))</f>
        <v>8</v>
      </c>
    </row>
    <row r="913" spans="2:3" x14ac:dyDescent="0.25">
      <c r="B913" s="29">
        <f t="shared" si="16"/>
        <v>907</v>
      </c>
      <c r="C913" s="35" cm="1">
        <f t="array" aca="1" ref="C913" ca="1">IF(ISNA(B913),"",dice(F$2,F$3))</f>
        <v>12</v>
      </c>
    </row>
    <row r="914" spans="2:3" x14ac:dyDescent="0.25">
      <c r="B914" s="29">
        <f t="shared" si="16"/>
        <v>908</v>
      </c>
      <c r="C914" s="35" cm="1">
        <f t="array" aca="1" ref="C914" ca="1">IF(ISNA(B914),"",dice(F$2,F$3))</f>
        <v>12</v>
      </c>
    </row>
    <row r="915" spans="2:3" x14ac:dyDescent="0.25">
      <c r="B915" s="29">
        <f t="shared" si="16"/>
        <v>909</v>
      </c>
      <c r="C915" s="35" cm="1">
        <f t="array" aca="1" ref="C915" ca="1">IF(ISNA(B915),"",dice(F$2,F$3))</f>
        <v>9</v>
      </c>
    </row>
    <row r="916" spans="2:3" x14ac:dyDescent="0.25">
      <c r="B916" s="29">
        <f t="shared" si="16"/>
        <v>910</v>
      </c>
      <c r="C916" s="35" cm="1">
        <f t="array" aca="1" ref="C916" ca="1">IF(ISNA(B916),"",dice(F$2,F$3))</f>
        <v>11</v>
      </c>
    </row>
    <row r="917" spans="2:3" x14ac:dyDescent="0.25">
      <c r="B917" s="29">
        <f t="shared" si="16"/>
        <v>911</v>
      </c>
      <c r="C917" s="35" cm="1">
        <f t="array" aca="1" ref="C917" ca="1">IF(ISNA(B917),"",dice(F$2,F$3))</f>
        <v>14</v>
      </c>
    </row>
    <row r="918" spans="2:3" x14ac:dyDescent="0.25">
      <c r="B918" s="29">
        <f t="shared" si="16"/>
        <v>912</v>
      </c>
      <c r="C918" s="35" cm="1">
        <f t="array" aca="1" ref="C918" ca="1">IF(ISNA(B918),"",dice(F$2,F$3))</f>
        <v>8</v>
      </c>
    </row>
    <row r="919" spans="2:3" x14ac:dyDescent="0.25">
      <c r="B919" s="29">
        <f t="shared" si="16"/>
        <v>913</v>
      </c>
      <c r="C919" s="35" cm="1">
        <f t="array" aca="1" ref="C919" ca="1">IF(ISNA(B919),"",dice(F$2,F$3))</f>
        <v>12</v>
      </c>
    </row>
    <row r="920" spans="2:3" x14ac:dyDescent="0.25">
      <c r="B920" s="29">
        <f t="shared" si="16"/>
        <v>914</v>
      </c>
      <c r="C920" s="35" cm="1">
        <f t="array" aca="1" ref="C920" ca="1">IF(ISNA(B920),"",dice(F$2,F$3))</f>
        <v>6</v>
      </c>
    </row>
    <row r="921" spans="2:3" x14ac:dyDescent="0.25">
      <c r="B921" s="29">
        <f t="shared" si="16"/>
        <v>915</v>
      </c>
      <c r="C921" s="35" cm="1">
        <f t="array" aca="1" ref="C921" ca="1">IF(ISNA(B921),"",dice(F$2,F$3))</f>
        <v>10</v>
      </c>
    </row>
    <row r="922" spans="2:3" x14ac:dyDescent="0.25">
      <c r="B922" s="29">
        <f t="shared" si="16"/>
        <v>916</v>
      </c>
      <c r="C922" s="35" cm="1">
        <f t="array" aca="1" ref="C922" ca="1">IF(ISNA(B922),"",dice(F$2,F$3))</f>
        <v>9</v>
      </c>
    </row>
    <row r="923" spans="2:3" x14ac:dyDescent="0.25">
      <c r="B923" s="29">
        <f t="shared" si="16"/>
        <v>917</v>
      </c>
      <c r="C923" s="35" cm="1">
        <f t="array" aca="1" ref="C923" ca="1">IF(ISNA(B923),"",dice(F$2,F$3))</f>
        <v>12</v>
      </c>
    </row>
    <row r="924" spans="2:3" x14ac:dyDescent="0.25">
      <c r="B924" s="29">
        <f t="shared" si="16"/>
        <v>918</v>
      </c>
      <c r="C924" s="35" cm="1">
        <f t="array" aca="1" ref="C924" ca="1">IF(ISNA(B924),"",dice(F$2,F$3))</f>
        <v>7</v>
      </c>
    </row>
    <row r="925" spans="2:3" x14ac:dyDescent="0.25">
      <c r="B925" s="29">
        <f t="shared" si="16"/>
        <v>919</v>
      </c>
      <c r="C925" s="35" cm="1">
        <f t="array" aca="1" ref="C925" ca="1">IF(ISNA(B925),"",dice(F$2,F$3))</f>
        <v>11</v>
      </c>
    </row>
    <row r="926" spans="2:3" x14ac:dyDescent="0.25">
      <c r="B926" s="29">
        <f t="shared" si="16"/>
        <v>920</v>
      </c>
      <c r="C926" s="35" cm="1">
        <f t="array" aca="1" ref="C926" ca="1">IF(ISNA(B926),"",dice(F$2,F$3))</f>
        <v>12</v>
      </c>
    </row>
    <row r="927" spans="2:3" x14ac:dyDescent="0.25">
      <c r="B927" s="29">
        <f t="shared" si="16"/>
        <v>921</v>
      </c>
      <c r="C927" s="35" cm="1">
        <f t="array" aca="1" ref="C927" ca="1">IF(ISNA(B927),"",dice(F$2,F$3))</f>
        <v>9</v>
      </c>
    </row>
    <row r="928" spans="2:3" x14ac:dyDescent="0.25">
      <c r="B928" s="29">
        <f t="shared" si="16"/>
        <v>922</v>
      </c>
      <c r="C928" s="35" cm="1">
        <f t="array" aca="1" ref="C928" ca="1">IF(ISNA(B928),"",dice(F$2,F$3))</f>
        <v>8</v>
      </c>
    </row>
    <row r="929" spans="2:3" x14ac:dyDescent="0.25">
      <c r="B929" s="29">
        <f t="shared" si="16"/>
        <v>923</v>
      </c>
      <c r="C929" s="35" cm="1">
        <f t="array" aca="1" ref="C929" ca="1">IF(ISNA(B929),"",dice(F$2,F$3))</f>
        <v>8</v>
      </c>
    </row>
    <row r="930" spans="2:3" x14ac:dyDescent="0.25">
      <c r="B930" s="29">
        <f t="shared" si="16"/>
        <v>924</v>
      </c>
      <c r="C930" s="35" cm="1">
        <f t="array" aca="1" ref="C930" ca="1">IF(ISNA(B930),"",dice(F$2,F$3))</f>
        <v>12</v>
      </c>
    </row>
    <row r="931" spans="2:3" x14ac:dyDescent="0.25">
      <c r="B931" s="29">
        <f t="shared" si="16"/>
        <v>925</v>
      </c>
      <c r="C931" s="35" cm="1">
        <f t="array" aca="1" ref="C931" ca="1">IF(ISNA(B931),"",dice(F$2,F$3))</f>
        <v>11</v>
      </c>
    </row>
    <row r="932" spans="2:3" x14ac:dyDescent="0.25">
      <c r="B932" s="29">
        <f t="shared" si="16"/>
        <v>926</v>
      </c>
      <c r="C932" s="35" cm="1">
        <f t="array" aca="1" ref="C932" ca="1">IF(ISNA(B932),"",dice(F$2,F$3))</f>
        <v>12</v>
      </c>
    </row>
    <row r="933" spans="2:3" x14ac:dyDescent="0.25">
      <c r="B933" s="29">
        <f t="shared" si="16"/>
        <v>927</v>
      </c>
      <c r="C933" s="35" cm="1">
        <f t="array" aca="1" ref="C933" ca="1">IF(ISNA(B933),"",dice(F$2,F$3))</f>
        <v>10</v>
      </c>
    </row>
    <row r="934" spans="2:3" x14ac:dyDescent="0.25">
      <c r="B934" s="29">
        <f t="shared" si="16"/>
        <v>928</v>
      </c>
      <c r="C934" s="35" cm="1">
        <f t="array" aca="1" ref="C934" ca="1">IF(ISNA(B934),"",dice(F$2,F$3))</f>
        <v>10</v>
      </c>
    </row>
    <row r="935" spans="2:3" x14ac:dyDescent="0.25">
      <c r="B935" s="29">
        <f t="shared" si="16"/>
        <v>929</v>
      </c>
      <c r="C935" s="35" cm="1">
        <f t="array" aca="1" ref="C935" ca="1">IF(ISNA(B935),"",dice(F$2,F$3))</f>
        <v>4</v>
      </c>
    </row>
    <row r="936" spans="2:3" x14ac:dyDescent="0.25">
      <c r="B936" s="29">
        <f t="shared" si="16"/>
        <v>930</v>
      </c>
      <c r="C936" s="35" cm="1">
        <f t="array" aca="1" ref="C936" ca="1">IF(ISNA(B936),"",dice(F$2,F$3))</f>
        <v>8</v>
      </c>
    </row>
    <row r="937" spans="2:3" x14ac:dyDescent="0.25">
      <c r="B937" s="29">
        <f t="shared" si="16"/>
        <v>931</v>
      </c>
      <c r="C937" s="35" cm="1">
        <f t="array" aca="1" ref="C937" ca="1">IF(ISNA(B937),"",dice(F$2,F$3))</f>
        <v>11</v>
      </c>
    </row>
    <row r="938" spans="2:3" x14ac:dyDescent="0.25">
      <c r="B938" s="29">
        <f t="shared" si="16"/>
        <v>932</v>
      </c>
      <c r="C938" s="35" cm="1">
        <f t="array" aca="1" ref="C938" ca="1">IF(ISNA(B938),"",dice(F$2,F$3))</f>
        <v>9</v>
      </c>
    </row>
    <row r="939" spans="2:3" x14ac:dyDescent="0.25">
      <c r="B939" s="29">
        <f t="shared" si="16"/>
        <v>933</v>
      </c>
      <c r="C939" s="35" cm="1">
        <f t="array" aca="1" ref="C939" ca="1">IF(ISNA(B939),"",dice(F$2,F$3))</f>
        <v>9</v>
      </c>
    </row>
    <row r="940" spans="2:3" x14ac:dyDescent="0.25">
      <c r="B940" s="29">
        <f t="shared" si="16"/>
        <v>934</v>
      </c>
      <c r="C940" s="35" cm="1">
        <f t="array" aca="1" ref="C940" ca="1">IF(ISNA(B940),"",dice(F$2,F$3))</f>
        <v>9</v>
      </c>
    </row>
    <row r="941" spans="2:3" x14ac:dyDescent="0.25">
      <c r="B941" s="29">
        <f t="shared" si="16"/>
        <v>935</v>
      </c>
      <c r="C941" s="35" cm="1">
        <f t="array" aca="1" ref="C941" ca="1">IF(ISNA(B941),"",dice(F$2,F$3))</f>
        <v>9</v>
      </c>
    </row>
    <row r="942" spans="2:3" x14ac:dyDescent="0.25">
      <c r="B942" s="29">
        <f t="shared" si="16"/>
        <v>936</v>
      </c>
      <c r="C942" s="35" cm="1">
        <f t="array" aca="1" ref="C942" ca="1">IF(ISNA(B942),"",dice(F$2,F$3))</f>
        <v>7</v>
      </c>
    </row>
    <row r="943" spans="2:3" x14ac:dyDescent="0.25">
      <c r="B943" s="29">
        <f t="shared" si="16"/>
        <v>937</v>
      </c>
      <c r="C943" s="35" cm="1">
        <f t="array" aca="1" ref="C943" ca="1">IF(ISNA(B943),"",dice(F$2,F$3))</f>
        <v>8</v>
      </c>
    </row>
    <row r="944" spans="2:3" x14ac:dyDescent="0.25">
      <c r="B944" s="29">
        <f t="shared" si="16"/>
        <v>938</v>
      </c>
      <c r="C944" s="35" cm="1">
        <f t="array" aca="1" ref="C944" ca="1">IF(ISNA(B944),"",dice(F$2,F$3))</f>
        <v>8</v>
      </c>
    </row>
    <row r="945" spans="2:3" x14ac:dyDescent="0.25">
      <c r="B945" s="29">
        <f t="shared" si="16"/>
        <v>939</v>
      </c>
      <c r="C945" s="35" cm="1">
        <f t="array" aca="1" ref="C945" ca="1">IF(ISNA(B945),"",dice(F$2,F$3))</f>
        <v>11</v>
      </c>
    </row>
    <row r="946" spans="2:3" x14ac:dyDescent="0.25">
      <c r="B946" s="29">
        <f t="shared" si="16"/>
        <v>940</v>
      </c>
      <c r="C946" s="35" cm="1">
        <f t="array" aca="1" ref="C946" ca="1">IF(ISNA(B946),"",dice(F$2,F$3))</f>
        <v>16</v>
      </c>
    </row>
    <row r="947" spans="2:3" x14ac:dyDescent="0.25">
      <c r="B947" s="29">
        <f t="shared" si="16"/>
        <v>941</v>
      </c>
      <c r="C947" s="35" cm="1">
        <f t="array" aca="1" ref="C947" ca="1">IF(ISNA(B947),"",dice(F$2,F$3))</f>
        <v>10</v>
      </c>
    </row>
    <row r="948" spans="2:3" x14ac:dyDescent="0.25">
      <c r="B948" s="29">
        <f t="shared" si="16"/>
        <v>942</v>
      </c>
      <c r="C948" s="35" cm="1">
        <f t="array" aca="1" ref="C948" ca="1">IF(ISNA(B948),"",dice(F$2,F$3))</f>
        <v>13</v>
      </c>
    </row>
    <row r="949" spans="2:3" x14ac:dyDescent="0.25">
      <c r="B949" s="29">
        <f t="shared" si="16"/>
        <v>943</v>
      </c>
      <c r="C949" s="35" cm="1">
        <f t="array" aca="1" ref="C949" ca="1">IF(ISNA(B949),"",dice(F$2,F$3))</f>
        <v>10</v>
      </c>
    </row>
    <row r="950" spans="2:3" x14ac:dyDescent="0.25">
      <c r="B950" s="29">
        <f t="shared" si="16"/>
        <v>944</v>
      </c>
      <c r="C950" s="35" cm="1">
        <f t="array" aca="1" ref="C950" ca="1">IF(ISNA(B950),"",dice(F$2,F$3))</f>
        <v>9</v>
      </c>
    </row>
    <row r="951" spans="2:3" x14ac:dyDescent="0.25">
      <c r="B951" s="29">
        <f t="shared" si="16"/>
        <v>945</v>
      </c>
      <c r="C951" s="35" cm="1">
        <f t="array" aca="1" ref="C951" ca="1">IF(ISNA(B951),"",dice(F$2,F$3))</f>
        <v>11</v>
      </c>
    </row>
    <row r="952" spans="2:3" x14ac:dyDescent="0.25">
      <c r="B952" s="29">
        <f t="shared" si="16"/>
        <v>946</v>
      </c>
      <c r="C952" s="35" cm="1">
        <f t="array" aca="1" ref="C952" ca="1">IF(ISNA(B952),"",dice(F$2,F$3))</f>
        <v>12</v>
      </c>
    </row>
    <row r="953" spans="2:3" x14ac:dyDescent="0.25">
      <c r="B953" s="29">
        <f t="shared" si="16"/>
        <v>947</v>
      </c>
      <c r="C953" s="35" cm="1">
        <f t="array" aca="1" ref="C953" ca="1">IF(ISNA(B953),"",dice(F$2,F$3))</f>
        <v>10</v>
      </c>
    </row>
    <row r="954" spans="2:3" x14ac:dyDescent="0.25">
      <c r="B954" s="29">
        <f t="shared" si="16"/>
        <v>948</v>
      </c>
      <c r="C954" s="35" cm="1">
        <f t="array" aca="1" ref="C954" ca="1">IF(ISNA(B954),"",dice(F$2,F$3))</f>
        <v>13</v>
      </c>
    </row>
    <row r="955" spans="2:3" x14ac:dyDescent="0.25">
      <c r="B955" s="29">
        <f t="shared" si="16"/>
        <v>949</v>
      </c>
      <c r="C955" s="35" cm="1">
        <f t="array" aca="1" ref="C955" ca="1">IF(ISNA(B955),"",dice(F$2,F$3))</f>
        <v>12</v>
      </c>
    </row>
    <row r="956" spans="2:3" x14ac:dyDescent="0.25">
      <c r="B956" s="29">
        <f t="shared" si="16"/>
        <v>950</v>
      </c>
      <c r="C956" s="35" cm="1">
        <f t="array" aca="1" ref="C956" ca="1">IF(ISNA(B956),"",dice(F$2,F$3))</f>
        <v>6</v>
      </c>
    </row>
    <row r="957" spans="2:3" x14ac:dyDescent="0.25">
      <c r="B957" s="29">
        <f t="shared" si="16"/>
        <v>951</v>
      </c>
      <c r="C957" s="35" cm="1">
        <f t="array" aca="1" ref="C957" ca="1">IF(ISNA(B957),"",dice(F$2,F$3))</f>
        <v>12</v>
      </c>
    </row>
    <row r="958" spans="2:3" x14ac:dyDescent="0.25">
      <c r="B958" s="29">
        <f t="shared" si="16"/>
        <v>952</v>
      </c>
      <c r="C958" s="35" cm="1">
        <f t="array" aca="1" ref="C958" ca="1">IF(ISNA(B958),"",dice(F$2,F$3))</f>
        <v>10</v>
      </c>
    </row>
    <row r="959" spans="2:3" x14ac:dyDescent="0.25">
      <c r="B959" s="29">
        <f t="shared" si="16"/>
        <v>953</v>
      </c>
      <c r="C959" s="35" cm="1">
        <f t="array" aca="1" ref="C959" ca="1">IF(ISNA(B959),"",dice(F$2,F$3))</f>
        <v>5</v>
      </c>
    </row>
    <row r="960" spans="2:3" x14ac:dyDescent="0.25">
      <c r="B960" s="29">
        <f t="shared" si="16"/>
        <v>954</v>
      </c>
      <c r="C960" s="35" cm="1">
        <f t="array" aca="1" ref="C960" ca="1">IF(ISNA(B960),"",dice(F$2,F$3))</f>
        <v>14</v>
      </c>
    </row>
    <row r="961" spans="2:3" x14ac:dyDescent="0.25">
      <c r="B961" s="29">
        <f t="shared" si="16"/>
        <v>955</v>
      </c>
      <c r="C961" s="35" cm="1">
        <f t="array" aca="1" ref="C961" ca="1">IF(ISNA(B961),"",dice(F$2,F$3))</f>
        <v>10</v>
      </c>
    </row>
    <row r="962" spans="2:3" x14ac:dyDescent="0.25">
      <c r="B962" s="29">
        <f t="shared" si="16"/>
        <v>956</v>
      </c>
      <c r="C962" s="35" cm="1">
        <f t="array" aca="1" ref="C962" ca="1">IF(ISNA(B962),"",dice(F$2,F$3))</f>
        <v>11</v>
      </c>
    </row>
    <row r="963" spans="2:3" x14ac:dyDescent="0.25">
      <c r="B963" s="29">
        <f t="shared" si="16"/>
        <v>957</v>
      </c>
      <c r="C963" s="35" cm="1">
        <f t="array" aca="1" ref="C963" ca="1">IF(ISNA(B963),"",dice(F$2,F$3))</f>
        <v>11</v>
      </c>
    </row>
    <row r="964" spans="2:3" x14ac:dyDescent="0.25">
      <c r="B964" s="29">
        <f t="shared" si="16"/>
        <v>958</v>
      </c>
      <c r="C964" s="35" cm="1">
        <f t="array" aca="1" ref="C964" ca="1">IF(ISNA(B964),"",dice(F$2,F$3))</f>
        <v>11</v>
      </c>
    </row>
    <row r="965" spans="2:3" x14ac:dyDescent="0.25">
      <c r="B965" s="29">
        <f t="shared" si="16"/>
        <v>959</v>
      </c>
      <c r="C965" s="35" cm="1">
        <f t="array" aca="1" ref="C965" ca="1">IF(ISNA(B965),"",dice(F$2,F$3))</f>
        <v>11</v>
      </c>
    </row>
    <row r="966" spans="2:3" x14ac:dyDescent="0.25">
      <c r="B966" s="29">
        <f t="shared" si="16"/>
        <v>960</v>
      </c>
      <c r="C966" s="35" cm="1">
        <f t="array" aca="1" ref="C966" ca="1">IF(ISNA(B966),"",dice(F$2,F$3))</f>
        <v>10</v>
      </c>
    </row>
    <row r="967" spans="2:3" x14ac:dyDescent="0.25">
      <c r="B967" s="29">
        <f t="shared" si="16"/>
        <v>961</v>
      </c>
      <c r="C967" s="35" cm="1">
        <f t="array" aca="1" ref="C967" ca="1">IF(ISNA(B967),"",dice(F$2,F$3))</f>
        <v>7</v>
      </c>
    </row>
    <row r="968" spans="2:3" x14ac:dyDescent="0.25">
      <c r="B968" s="29">
        <f t="shared" si="16"/>
        <v>962</v>
      </c>
      <c r="C968" s="35" cm="1">
        <f t="array" aca="1" ref="C968" ca="1">IF(ISNA(B968),"",dice(F$2,F$3))</f>
        <v>7</v>
      </c>
    </row>
    <row r="969" spans="2:3" x14ac:dyDescent="0.25">
      <c r="B969" s="29">
        <f t="shared" ref="B969:B1032" si="17">IF(B968&lt;F$4,B968+1,NA())</f>
        <v>963</v>
      </c>
      <c r="C969" s="35" cm="1">
        <f t="array" aca="1" ref="C969" ca="1">IF(ISNA(B969),"",dice(F$2,F$3))</f>
        <v>3</v>
      </c>
    </row>
    <row r="970" spans="2:3" x14ac:dyDescent="0.25">
      <c r="B970" s="29">
        <f t="shared" si="17"/>
        <v>964</v>
      </c>
      <c r="C970" s="35" cm="1">
        <f t="array" aca="1" ref="C970" ca="1">IF(ISNA(B970),"",dice(F$2,F$3))</f>
        <v>9</v>
      </c>
    </row>
    <row r="971" spans="2:3" x14ac:dyDescent="0.25">
      <c r="B971" s="29">
        <f t="shared" si="17"/>
        <v>965</v>
      </c>
      <c r="C971" s="35" cm="1">
        <f t="array" aca="1" ref="C971" ca="1">IF(ISNA(B971),"",dice(F$2,F$3))</f>
        <v>11</v>
      </c>
    </row>
    <row r="972" spans="2:3" x14ac:dyDescent="0.25">
      <c r="B972" s="29">
        <f t="shared" si="17"/>
        <v>966</v>
      </c>
      <c r="C972" s="35" cm="1">
        <f t="array" aca="1" ref="C972" ca="1">IF(ISNA(B972),"",dice(F$2,F$3))</f>
        <v>9</v>
      </c>
    </row>
    <row r="973" spans="2:3" x14ac:dyDescent="0.25">
      <c r="B973" s="29">
        <f t="shared" si="17"/>
        <v>967</v>
      </c>
      <c r="C973" s="35" cm="1">
        <f t="array" aca="1" ref="C973" ca="1">IF(ISNA(B973),"",dice(F$2,F$3))</f>
        <v>7</v>
      </c>
    </row>
    <row r="974" spans="2:3" x14ac:dyDescent="0.25">
      <c r="B974" s="29">
        <f t="shared" si="17"/>
        <v>968</v>
      </c>
      <c r="C974" s="35" cm="1">
        <f t="array" aca="1" ref="C974" ca="1">IF(ISNA(B974),"",dice(F$2,F$3))</f>
        <v>11</v>
      </c>
    </row>
    <row r="975" spans="2:3" x14ac:dyDescent="0.25">
      <c r="B975" s="29">
        <f t="shared" si="17"/>
        <v>969</v>
      </c>
      <c r="C975" s="35" cm="1">
        <f t="array" aca="1" ref="C975" ca="1">IF(ISNA(B975),"",dice(F$2,F$3))</f>
        <v>7</v>
      </c>
    </row>
    <row r="976" spans="2:3" x14ac:dyDescent="0.25">
      <c r="B976" s="29">
        <f t="shared" si="17"/>
        <v>970</v>
      </c>
      <c r="C976" s="35" cm="1">
        <f t="array" aca="1" ref="C976" ca="1">IF(ISNA(B976),"",dice(F$2,F$3))</f>
        <v>8</v>
      </c>
    </row>
    <row r="977" spans="2:3" x14ac:dyDescent="0.25">
      <c r="B977" s="29">
        <f t="shared" si="17"/>
        <v>971</v>
      </c>
      <c r="C977" s="35" cm="1">
        <f t="array" aca="1" ref="C977" ca="1">IF(ISNA(B977),"",dice(F$2,F$3))</f>
        <v>17</v>
      </c>
    </row>
    <row r="978" spans="2:3" x14ac:dyDescent="0.25">
      <c r="B978" s="29">
        <f t="shared" si="17"/>
        <v>972</v>
      </c>
      <c r="C978" s="35" cm="1">
        <f t="array" aca="1" ref="C978" ca="1">IF(ISNA(B978),"",dice(F$2,F$3))</f>
        <v>13</v>
      </c>
    </row>
    <row r="979" spans="2:3" x14ac:dyDescent="0.25">
      <c r="B979" s="29">
        <f t="shared" si="17"/>
        <v>973</v>
      </c>
      <c r="C979" s="35" cm="1">
        <f t="array" aca="1" ref="C979" ca="1">IF(ISNA(B979),"",dice(F$2,F$3))</f>
        <v>8</v>
      </c>
    </row>
    <row r="980" spans="2:3" x14ac:dyDescent="0.25">
      <c r="B980" s="29">
        <f t="shared" si="17"/>
        <v>974</v>
      </c>
      <c r="C980" s="35" cm="1">
        <f t="array" aca="1" ref="C980" ca="1">IF(ISNA(B980),"",dice(F$2,F$3))</f>
        <v>8</v>
      </c>
    </row>
    <row r="981" spans="2:3" x14ac:dyDescent="0.25">
      <c r="B981" s="29">
        <f t="shared" si="17"/>
        <v>975</v>
      </c>
      <c r="C981" s="35" cm="1">
        <f t="array" aca="1" ref="C981" ca="1">IF(ISNA(B981),"",dice(F$2,F$3))</f>
        <v>13</v>
      </c>
    </row>
    <row r="982" spans="2:3" x14ac:dyDescent="0.25">
      <c r="B982" s="29">
        <f t="shared" si="17"/>
        <v>976</v>
      </c>
      <c r="C982" s="35" cm="1">
        <f t="array" aca="1" ref="C982" ca="1">IF(ISNA(B982),"",dice(F$2,F$3))</f>
        <v>11</v>
      </c>
    </row>
    <row r="983" spans="2:3" x14ac:dyDescent="0.25">
      <c r="B983" s="29">
        <f t="shared" si="17"/>
        <v>977</v>
      </c>
      <c r="C983" s="35" cm="1">
        <f t="array" aca="1" ref="C983" ca="1">IF(ISNA(B983),"",dice(F$2,F$3))</f>
        <v>8</v>
      </c>
    </row>
    <row r="984" spans="2:3" x14ac:dyDescent="0.25">
      <c r="B984" s="29">
        <f t="shared" si="17"/>
        <v>978</v>
      </c>
      <c r="C984" s="35" cm="1">
        <f t="array" aca="1" ref="C984" ca="1">IF(ISNA(B984),"",dice(F$2,F$3))</f>
        <v>12</v>
      </c>
    </row>
    <row r="985" spans="2:3" x14ac:dyDescent="0.25">
      <c r="B985" s="29">
        <f t="shared" si="17"/>
        <v>979</v>
      </c>
      <c r="C985" s="35" cm="1">
        <f t="array" aca="1" ref="C985" ca="1">IF(ISNA(B985),"",dice(F$2,F$3))</f>
        <v>10</v>
      </c>
    </row>
    <row r="986" spans="2:3" x14ac:dyDescent="0.25">
      <c r="B986" s="29">
        <f t="shared" si="17"/>
        <v>980</v>
      </c>
      <c r="C986" s="35" cm="1">
        <f t="array" aca="1" ref="C986" ca="1">IF(ISNA(B986),"",dice(F$2,F$3))</f>
        <v>12</v>
      </c>
    </row>
    <row r="987" spans="2:3" x14ac:dyDescent="0.25">
      <c r="B987" s="29">
        <f t="shared" si="17"/>
        <v>981</v>
      </c>
      <c r="C987" s="35" cm="1">
        <f t="array" aca="1" ref="C987" ca="1">IF(ISNA(B987),"",dice(F$2,F$3))</f>
        <v>9</v>
      </c>
    </row>
    <row r="988" spans="2:3" x14ac:dyDescent="0.25">
      <c r="B988" s="29">
        <f t="shared" si="17"/>
        <v>982</v>
      </c>
      <c r="C988" s="35" cm="1">
        <f t="array" aca="1" ref="C988" ca="1">IF(ISNA(B988),"",dice(F$2,F$3))</f>
        <v>10</v>
      </c>
    </row>
    <row r="989" spans="2:3" x14ac:dyDescent="0.25">
      <c r="B989" s="29">
        <f t="shared" si="17"/>
        <v>983</v>
      </c>
      <c r="C989" s="35" cm="1">
        <f t="array" aca="1" ref="C989" ca="1">IF(ISNA(B989),"",dice(F$2,F$3))</f>
        <v>8</v>
      </c>
    </row>
    <row r="990" spans="2:3" x14ac:dyDescent="0.25">
      <c r="B990" s="29">
        <f t="shared" si="17"/>
        <v>984</v>
      </c>
      <c r="C990" s="35" cm="1">
        <f t="array" aca="1" ref="C990" ca="1">IF(ISNA(B990),"",dice(F$2,F$3))</f>
        <v>10</v>
      </c>
    </row>
    <row r="991" spans="2:3" x14ac:dyDescent="0.25">
      <c r="B991" s="29">
        <f t="shared" si="17"/>
        <v>985</v>
      </c>
      <c r="C991" s="35" cm="1">
        <f t="array" aca="1" ref="C991" ca="1">IF(ISNA(B991),"",dice(F$2,F$3))</f>
        <v>4</v>
      </c>
    </row>
    <row r="992" spans="2:3" x14ac:dyDescent="0.25">
      <c r="B992" s="29">
        <f t="shared" si="17"/>
        <v>986</v>
      </c>
      <c r="C992" s="35" cm="1">
        <f t="array" aca="1" ref="C992" ca="1">IF(ISNA(B992),"",dice(F$2,F$3))</f>
        <v>15</v>
      </c>
    </row>
    <row r="993" spans="2:3" x14ac:dyDescent="0.25">
      <c r="B993" s="29">
        <f t="shared" si="17"/>
        <v>987</v>
      </c>
      <c r="C993" s="35" cm="1">
        <f t="array" aca="1" ref="C993" ca="1">IF(ISNA(B993),"",dice(F$2,F$3))</f>
        <v>11</v>
      </c>
    </row>
    <row r="994" spans="2:3" x14ac:dyDescent="0.25">
      <c r="B994" s="29">
        <f t="shared" si="17"/>
        <v>988</v>
      </c>
      <c r="C994" s="35" cm="1">
        <f t="array" aca="1" ref="C994" ca="1">IF(ISNA(B994),"",dice(F$2,F$3))</f>
        <v>10</v>
      </c>
    </row>
    <row r="995" spans="2:3" x14ac:dyDescent="0.25">
      <c r="B995" s="29">
        <f t="shared" si="17"/>
        <v>989</v>
      </c>
      <c r="C995" s="35" cm="1">
        <f t="array" aca="1" ref="C995" ca="1">IF(ISNA(B995),"",dice(F$2,F$3))</f>
        <v>6</v>
      </c>
    </row>
    <row r="996" spans="2:3" x14ac:dyDescent="0.25">
      <c r="B996" s="29">
        <f t="shared" si="17"/>
        <v>990</v>
      </c>
      <c r="C996" s="35" cm="1">
        <f t="array" aca="1" ref="C996" ca="1">IF(ISNA(B996),"",dice(F$2,F$3))</f>
        <v>11</v>
      </c>
    </row>
    <row r="997" spans="2:3" x14ac:dyDescent="0.25">
      <c r="B997" s="29">
        <f t="shared" si="17"/>
        <v>991</v>
      </c>
      <c r="C997" s="35" cm="1">
        <f t="array" aca="1" ref="C997" ca="1">IF(ISNA(B997),"",dice(F$2,F$3))</f>
        <v>14</v>
      </c>
    </row>
    <row r="998" spans="2:3" x14ac:dyDescent="0.25">
      <c r="B998" s="29">
        <f t="shared" si="17"/>
        <v>992</v>
      </c>
      <c r="C998" s="35" cm="1">
        <f t="array" aca="1" ref="C998" ca="1">IF(ISNA(B998),"",dice(F$2,F$3))</f>
        <v>8</v>
      </c>
    </row>
    <row r="999" spans="2:3" x14ac:dyDescent="0.25">
      <c r="B999" s="29">
        <f t="shared" si="17"/>
        <v>993</v>
      </c>
      <c r="C999" s="35" cm="1">
        <f t="array" aca="1" ref="C999" ca="1">IF(ISNA(B999),"",dice(F$2,F$3))</f>
        <v>10</v>
      </c>
    </row>
    <row r="1000" spans="2:3" x14ac:dyDescent="0.25">
      <c r="B1000" s="29">
        <f t="shared" si="17"/>
        <v>994</v>
      </c>
      <c r="C1000" s="35" cm="1">
        <f t="array" aca="1" ref="C1000" ca="1">IF(ISNA(B1000),"",dice(F$2,F$3))</f>
        <v>8</v>
      </c>
    </row>
    <row r="1001" spans="2:3" x14ac:dyDescent="0.25">
      <c r="B1001" s="29">
        <f t="shared" si="17"/>
        <v>995</v>
      </c>
      <c r="C1001" s="35" cm="1">
        <f t="array" aca="1" ref="C1001" ca="1">IF(ISNA(B1001),"",dice(F$2,F$3))</f>
        <v>17</v>
      </c>
    </row>
    <row r="1002" spans="2:3" x14ac:dyDescent="0.25">
      <c r="B1002" s="29">
        <f t="shared" si="17"/>
        <v>996</v>
      </c>
      <c r="C1002" s="35" cm="1">
        <f t="array" aca="1" ref="C1002" ca="1">IF(ISNA(B1002),"",dice(F$2,F$3))</f>
        <v>9</v>
      </c>
    </row>
    <row r="1003" spans="2:3" x14ac:dyDescent="0.25">
      <c r="B1003" s="29">
        <f t="shared" si="17"/>
        <v>997</v>
      </c>
      <c r="C1003" s="35" cm="1">
        <f t="array" aca="1" ref="C1003" ca="1">IF(ISNA(B1003),"",dice(F$2,F$3))</f>
        <v>14</v>
      </c>
    </row>
    <row r="1004" spans="2:3" x14ac:dyDescent="0.25">
      <c r="B1004" s="29">
        <f t="shared" si="17"/>
        <v>998</v>
      </c>
      <c r="C1004" s="35" cm="1">
        <f t="array" aca="1" ref="C1004" ca="1">IF(ISNA(B1004),"",dice(F$2,F$3))</f>
        <v>9</v>
      </c>
    </row>
    <row r="1005" spans="2:3" x14ac:dyDescent="0.25">
      <c r="B1005" s="29">
        <f t="shared" si="17"/>
        <v>999</v>
      </c>
      <c r="C1005" s="35" cm="1">
        <f t="array" aca="1" ref="C1005" ca="1">IF(ISNA(B1005),"",dice(F$2,F$3))</f>
        <v>10</v>
      </c>
    </row>
    <row r="1006" spans="2:3" x14ac:dyDescent="0.25">
      <c r="B1006" s="29">
        <f t="shared" si="17"/>
        <v>1000</v>
      </c>
      <c r="C1006" s="35" cm="1">
        <f t="array" aca="1" ref="C1006" ca="1">IF(ISNA(B1006),"",dice(F$2,F$3))</f>
        <v>12</v>
      </c>
    </row>
    <row r="1007" spans="2:3" x14ac:dyDescent="0.25">
      <c r="B1007" s="29" t="e">
        <f t="shared" si="17"/>
        <v>#N/A</v>
      </c>
      <c r="C1007" s="35" t="str" cm="1">
        <f t="array" ref="C1007">IF(ISNA(B1007),"",dice(F$2,F$3))</f>
        <v/>
      </c>
    </row>
    <row r="1008" spans="2:3" x14ac:dyDescent="0.25">
      <c r="B1008" s="29" t="e">
        <f t="shared" si="17"/>
        <v>#N/A</v>
      </c>
      <c r="C1008" s="35" t="str" cm="1">
        <f t="array" ref="C1008">IF(ISNA(B1008),"",dice(F$2,F$3))</f>
        <v/>
      </c>
    </row>
    <row r="1009" spans="2:3" x14ac:dyDescent="0.25">
      <c r="B1009" s="29" t="e">
        <f t="shared" si="17"/>
        <v>#N/A</v>
      </c>
      <c r="C1009" s="35" t="str" cm="1">
        <f t="array" ref="C1009">IF(ISNA(B1009),"",dice(F$2,F$3))</f>
        <v/>
      </c>
    </row>
    <row r="1010" spans="2:3" x14ac:dyDescent="0.25">
      <c r="B1010" s="29" t="e">
        <f t="shared" si="17"/>
        <v>#N/A</v>
      </c>
      <c r="C1010" s="35" t="str" cm="1">
        <f t="array" ref="C1010">IF(ISNA(B1010),"",dice(F$2,F$3))</f>
        <v/>
      </c>
    </row>
    <row r="1011" spans="2:3" x14ac:dyDescent="0.25">
      <c r="B1011" s="29" t="e">
        <f t="shared" si="17"/>
        <v>#N/A</v>
      </c>
      <c r="C1011" s="35" t="str" cm="1">
        <f t="array" ref="C1011">IF(ISNA(B1011),"",dice(F$2,F$3))</f>
        <v/>
      </c>
    </row>
    <row r="1012" spans="2:3" x14ac:dyDescent="0.25">
      <c r="B1012" s="29" t="e">
        <f t="shared" si="17"/>
        <v>#N/A</v>
      </c>
      <c r="C1012" s="35" t="str" cm="1">
        <f t="array" ref="C1012">IF(ISNA(B1012),"",dice(F$2,F$3))</f>
        <v/>
      </c>
    </row>
    <row r="1013" spans="2:3" x14ac:dyDescent="0.25">
      <c r="B1013" s="29" t="e">
        <f t="shared" si="17"/>
        <v>#N/A</v>
      </c>
      <c r="C1013" s="35" t="str" cm="1">
        <f t="array" ref="C1013">IF(ISNA(B1013),"",dice(F$2,F$3))</f>
        <v/>
      </c>
    </row>
    <row r="1014" spans="2:3" x14ac:dyDescent="0.25">
      <c r="B1014" s="29" t="e">
        <f t="shared" si="17"/>
        <v>#N/A</v>
      </c>
      <c r="C1014" s="35" t="str" cm="1">
        <f t="array" ref="C1014">IF(ISNA(B1014),"",dice(F$2,F$3))</f>
        <v/>
      </c>
    </row>
    <row r="1015" spans="2:3" x14ac:dyDescent="0.25">
      <c r="B1015" s="29" t="e">
        <f t="shared" si="17"/>
        <v>#N/A</v>
      </c>
      <c r="C1015" s="35" t="str" cm="1">
        <f t="array" ref="C1015">IF(ISNA(B1015),"",dice(F$2,F$3))</f>
        <v/>
      </c>
    </row>
    <row r="1016" spans="2:3" x14ac:dyDescent="0.25">
      <c r="B1016" s="29" t="e">
        <f t="shared" si="17"/>
        <v>#N/A</v>
      </c>
      <c r="C1016" s="35" t="str" cm="1">
        <f t="array" ref="C1016">IF(ISNA(B1016),"",dice(F$2,F$3))</f>
        <v/>
      </c>
    </row>
    <row r="1017" spans="2:3" x14ac:dyDescent="0.25">
      <c r="B1017" s="29" t="e">
        <f t="shared" si="17"/>
        <v>#N/A</v>
      </c>
      <c r="C1017" s="35" t="str" cm="1">
        <f t="array" ref="C1017">IF(ISNA(B1017),"",dice(F$2,F$3))</f>
        <v/>
      </c>
    </row>
    <row r="1018" spans="2:3" x14ac:dyDescent="0.25">
      <c r="B1018" s="29" t="e">
        <f t="shared" si="17"/>
        <v>#N/A</v>
      </c>
      <c r="C1018" s="35" t="str" cm="1">
        <f t="array" ref="C1018">IF(ISNA(B1018),"",dice(F$2,F$3))</f>
        <v/>
      </c>
    </row>
    <row r="1019" spans="2:3" x14ac:dyDescent="0.25">
      <c r="B1019" s="29" t="e">
        <f t="shared" si="17"/>
        <v>#N/A</v>
      </c>
      <c r="C1019" s="35" t="str" cm="1">
        <f t="array" ref="C1019">IF(ISNA(B1019),"",dice(F$2,F$3))</f>
        <v/>
      </c>
    </row>
    <row r="1020" spans="2:3" x14ac:dyDescent="0.25">
      <c r="B1020" s="29" t="e">
        <f t="shared" si="17"/>
        <v>#N/A</v>
      </c>
      <c r="C1020" s="35" t="str" cm="1">
        <f t="array" ref="C1020">IF(ISNA(B1020),"",dice(F$2,F$3))</f>
        <v/>
      </c>
    </row>
    <row r="1021" spans="2:3" x14ac:dyDescent="0.25">
      <c r="B1021" s="29" t="e">
        <f t="shared" si="17"/>
        <v>#N/A</v>
      </c>
      <c r="C1021" s="35" t="str" cm="1">
        <f t="array" ref="C1021">IF(ISNA(B1021),"",dice(F$2,F$3))</f>
        <v/>
      </c>
    </row>
    <row r="1022" spans="2:3" x14ac:dyDescent="0.25">
      <c r="B1022" s="29" t="e">
        <f t="shared" si="17"/>
        <v>#N/A</v>
      </c>
      <c r="C1022" s="35" t="str" cm="1">
        <f t="array" ref="C1022">IF(ISNA(B1022),"",dice(F$2,F$3))</f>
        <v/>
      </c>
    </row>
    <row r="1023" spans="2:3" x14ac:dyDescent="0.25">
      <c r="B1023" s="29" t="e">
        <f t="shared" si="17"/>
        <v>#N/A</v>
      </c>
      <c r="C1023" s="35" t="str" cm="1">
        <f t="array" ref="C1023">IF(ISNA(B1023),"",dice(F$2,F$3))</f>
        <v/>
      </c>
    </row>
    <row r="1024" spans="2:3" x14ac:dyDescent="0.25">
      <c r="B1024" s="29" t="e">
        <f t="shared" si="17"/>
        <v>#N/A</v>
      </c>
      <c r="C1024" s="35" t="str" cm="1">
        <f t="array" ref="C1024">IF(ISNA(B1024),"",dice(F$2,F$3))</f>
        <v/>
      </c>
    </row>
    <row r="1025" spans="2:3" x14ac:dyDescent="0.25">
      <c r="B1025" s="29" t="e">
        <f t="shared" si="17"/>
        <v>#N/A</v>
      </c>
      <c r="C1025" s="35" t="str" cm="1">
        <f t="array" ref="C1025">IF(ISNA(B1025),"",dice(F$2,F$3))</f>
        <v/>
      </c>
    </row>
    <row r="1026" spans="2:3" x14ac:dyDescent="0.25">
      <c r="B1026" s="29" t="e">
        <f t="shared" si="17"/>
        <v>#N/A</v>
      </c>
      <c r="C1026" s="35" t="str" cm="1">
        <f t="array" ref="C1026">IF(ISNA(B1026),"",dice(F$2,F$3))</f>
        <v/>
      </c>
    </row>
    <row r="1027" spans="2:3" x14ac:dyDescent="0.25">
      <c r="B1027" s="29" t="e">
        <f t="shared" si="17"/>
        <v>#N/A</v>
      </c>
      <c r="C1027" s="35" t="str" cm="1">
        <f t="array" ref="C1027">IF(ISNA(B1027),"",dice(F$2,F$3))</f>
        <v/>
      </c>
    </row>
    <row r="1028" spans="2:3" x14ac:dyDescent="0.25">
      <c r="B1028" s="29" t="e">
        <f t="shared" si="17"/>
        <v>#N/A</v>
      </c>
      <c r="C1028" s="35" t="str" cm="1">
        <f t="array" ref="C1028">IF(ISNA(B1028),"",dice(F$2,F$3))</f>
        <v/>
      </c>
    </row>
    <row r="1029" spans="2:3" x14ac:dyDescent="0.25">
      <c r="B1029" s="29" t="e">
        <f t="shared" si="17"/>
        <v>#N/A</v>
      </c>
      <c r="C1029" s="35" t="str" cm="1">
        <f t="array" ref="C1029">IF(ISNA(B1029),"",dice(F$2,F$3))</f>
        <v/>
      </c>
    </row>
    <row r="1030" spans="2:3" x14ac:dyDescent="0.25">
      <c r="B1030" s="29" t="e">
        <f t="shared" si="17"/>
        <v>#N/A</v>
      </c>
      <c r="C1030" s="35" t="str" cm="1">
        <f t="array" ref="C1030">IF(ISNA(B1030),"",dice(F$2,F$3))</f>
        <v/>
      </c>
    </row>
    <row r="1031" spans="2:3" x14ac:dyDescent="0.25">
      <c r="B1031" s="29" t="e">
        <f t="shared" si="17"/>
        <v>#N/A</v>
      </c>
      <c r="C1031" s="35" t="str" cm="1">
        <f t="array" ref="C1031">IF(ISNA(B1031),"",dice(F$2,F$3))</f>
        <v/>
      </c>
    </row>
    <row r="1032" spans="2:3" x14ac:dyDescent="0.25">
      <c r="B1032" s="29" t="e">
        <f t="shared" si="17"/>
        <v>#N/A</v>
      </c>
      <c r="C1032" s="35" t="str" cm="1">
        <f t="array" ref="C1032">IF(ISNA(B1032),"",dice(F$2,F$3))</f>
        <v/>
      </c>
    </row>
    <row r="1033" spans="2:3" x14ac:dyDescent="0.25">
      <c r="B1033" s="29" t="e">
        <f t="shared" ref="B1033:B1096" si="18">IF(B1032&lt;F$4,B1032+1,NA())</f>
        <v>#N/A</v>
      </c>
      <c r="C1033" s="35" t="str" cm="1">
        <f t="array" ref="C1033">IF(ISNA(B1033),"",dice(F$2,F$3))</f>
        <v/>
      </c>
    </row>
    <row r="1034" spans="2:3" x14ac:dyDescent="0.25">
      <c r="B1034" s="29" t="e">
        <f t="shared" si="18"/>
        <v>#N/A</v>
      </c>
      <c r="C1034" s="35" t="str" cm="1">
        <f t="array" ref="C1034">IF(ISNA(B1034),"",dice(F$2,F$3))</f>
        <v/>
      </c>
    </row>
    <row r="1035" spans="2:3" x14ac:dyDescent="0.25">
      <c r="B1035" s="29" t="e">
        <f t="shared" si="18"/>
        <v>#N/A</v>
      </c>
      <c r="C1035" s="35" t="str" cm="1">
        <f t="array" ref="C1035">IF(ISNA(B1035),"",dice(F$2,F$3))</f>
        <v/>
      </c>
    </row>
    <row r="1036" spans="2:3" x14ac:dyDescent="0.25">
      <c r="B1036" s="29" t="e">
        <f t="shared" si="18"/>
        <v>#N/A</v>
      </c>
      <c r="C1036" s="35" t="str" cm="1">
        <f t="array" ref="C1036">IF(ISNA(B1036),"",dice(F$2,F$3))</f>
        <v/>
      </c>
    </row>
    <row r="1037" spans="2:3" x14ac:dyDescent="0.25">
      <c r="B1037" s="29" t="e">
        <f t="shared" si="18"/>
        <v>#N/A</v>
      </c>
      <c r="C1037" s="35" t="str" cm="1">
        <f t="array" ref="C1037">IF(ISNA(B1037),"",dice(F$2,F$3))</f>
        <v/>
      </c>
    </row>
    <row r="1038" spans="2:3" x14ac:dyDescent="0.25">
      <c r="B1038" s="29" t="e">
        <f t="shared" si="18"/>
        <v>#N/A</v>
      </c>
      <c r="C1038" s="35" t="str" cm="1">
        <f t="array" ref="C1038">IF(ISNA(B1038),"",dice(F$2,F$3))</f>
        <v/>
      </c>
    </row>
    <row r="1039" spans="2:3" x14ac:dyDescent="0.25">
      <c r="B1039" s="29" t="e">
        <f t="shared" si="18"/>
        <v>#N/A</v>
      </c>
      <c r="C1039" s="35" t="str" cm="1">
        <f t="array" ref="C1039">IF(ISNA(B1039),"",dice(F$2,F$3))</f>
        <v/>
      </c>
    </row>
    <row r="1040" spans="2:3" x14ac:dyDescent="0.25">
      <c r="B1040" s="29" t="e">
        <f t="shared" si="18"/>
        <v>#N/A</v>
      </c>
      <c r="C1040" s="35" t="str" cm="1">
        <f t="array" ref="C1040">IF(ISNA(B1040),"",dice(F$2,F$3))</f>
        <v/>
      </c>
    </row>
    <row r="1041" spans="2:3" x14ac:dyDescent="0.25">
      <c r="B1041" s="29" t="e">
        <f t="shared" si="18"/>
        <v>#N/A</v>
      </c>
      <c r="C1041" s="35" t="str" cm="1">
        <f t="array" ref="C1041">IF(ISNA(B1041),"",dice(F$2,F$3))</f>
        <v/>
      </c>
    </row>
    <row r="1042" spans="2:3" x14ac:dyDescent="0.25">
      <c r="B1042" s="29" t="e">
        <f t="shared" si="18"/>
        <v>#N/A</v>
      </c>
      <c r="C1042" s="35" t="str" cm="1">
        <f t="array" ref="C1042">IF(ISNA(B1042),"",dice(F$2,F$3))</f>
        <v/>
      </c>
    </row>
    <row r="1043" spans="2:3" x14ac:dyDescent="0.25">
      <c r="B1043" s="29" t="e">
        <f t="shared" si="18"/>
        <v>#N/A</v>
      </c>
      <c r="C1043" s="35" t="str" cm="1">
        <f t="array" ref="C1043">IF(ISNA(B1043),"",dice(F$2,F$3))</f>
        <v/>
      </c>
    </row>
    <row r="1044" spans="2:3" x14ac:dyDescent="0.25">
      <c r="B1044" s="29" t="e">
        <f t="shared" si="18"/>
        <v>#N/A</v>
      </c>
      <c r="C1044" s="35" t="str" cm="1">
        <f t="array" ref="C1044">IF(ISNA(B1044),"",dice(F$2,F$3))</f>
        <v/>
      </c>
    </row>
    <row r="1045" spans="2:3" x14ac:dyDescent="0.25">
      <c r="B1045" s="29" t="e">
        <f t="shared" si="18"/>
        <v>#N/A</v>
      </c>
      <c r="C1045" s="35" t="str" cm="1">
        <f t="array" ref="C1045">IF(ISNA(B1045),"",dice(F$2,F$3))</f>
        <v/>
      </c>
    </row>
    <row r="1046" spans="2:3" x14ac:dyDescent="0.25">
      <c r="B1046" s="29" t="e">
        <f t="shared" si="18"/>
        <v>#N/A</v>
      </c>
      <c r="C1046" s="35" t="str" cm="1">
        <f t="array" ref="C1046">IF(ISNA(B1046),"",dice(F$2,F$3))</f>
        <v/>
      </c>
    </row>
    <row r="1047" spans="2:3" x14ac:dyDescent="0.25">
      <c r="B1047" s="29" t="e">
        <f t="shared" si="18"/>
        <v>#N/A</v>
      </c>
      <c r="C1047" s="35" t="str" cm="1">
        <f t="array" ref="C1047">IF(ISNA(B1047),"",dice(F$2,F$3))</f>
        <v/>
      </c>
    </row>
    <row r="1048" spans="2:3" x14ac:dyDescent="0.25">
      <c r="B1048" s="29" t="e">
        <f t="shared" si="18"/>
        <v>#N/A</v>
      </c>
      <c r="C1048" s="35" t="str" cm="1">
        <f t="array" ref="C1048">IF(ISNA(B1048),"",dice(F$2,F$3))</f>
        <v/>
      </c>
    </row>
    <row r="1049" spans="2:3" x14ac:dyDescent="0.25">
      <c r="B1049" s="29" t="e">
        <f t="shared" si="18"/>
        <v>#N/A</v>
      </c>
      <c r="C1049" s="35" t="str" cm="1">
        <f t="array" ref="C1049">IF(ISNA(B1049),"",dice(F$2,F$3))</f>
        <v/>
      </c>
    </row>
    <row r="1050" spans="2:3" x14ac:dyDescent="0.25">
      <c r="B1050" s="29" t="e">
        <f t="shared" si="18"/>
        <v>#N/A</v>
      </c>
      <c r="C1050" s="35" t="str" cm="1">
        <f t="array" ref="C1050">IF(ISNA(B1050),"",dice(F$2,F$3))</f>
        <v/>
      </c>
    </row>
    <row r="1051" spans="2:3" x14ac:dyDescent="0.25">
      <c r="B1051" s="29" t="e">
        <f t="shared" si="18"/>
        <v>#N/A</v>
      </c>
      <c r="C1051" s="35" t="str" cm="1">
        <f t="array" ref="C1051">IF(ISNA(B1051),"",dice(F$2,F$3))</f>
        <v/>
      </c>
    </row>
    <row r="1052" spans="2:3" x14ac:dyDescent="0.25">
      <c r="B1052" s="29" t="e">
        <f t="shared" si="18"/>
        <v>#N/A</v>
      </c>
      <c r="C1052" s="35" t="str" cm="1">
        <f t="array" ref="C1052">IF(ISNA(B1052),"",dice(F$2,F$3))</f>
        <v/>
      </c>
    </row>
    <row r="1053" spans="2:3" x14ac:dyDescent="0.25">
      <c r="B1053" s="29" t="e">
        <f t="shared" si="18"/>
        <v>#N/A</v>
      </c>
      <c r="C1053" s="35" t="str" cm="1">
        <f t="array" ref="C1053">IF(ISNA(B1053),"",dice(F$2,F$3))</f>
        <v/>
      </c>
    </row>
    <row r="1054" spans="2:3" x14ac:dyDescent="0.25">
      <c r="B1054" s="29" t="e">
        <f t="shared" si="18"/>
        <v>#N/A</v>
      </c>
      <c r="C1054" s="35" t="str" cm="1">
        <f t="array" ref="C1054">IF(ISNA(B1054),"",dice(F$2,F$3))</f>
        <v/>
      </c>
    </row>
    <row r="1055" spans="2:3" x14ac:dyDescent="0.25">
      <c r="B1055" s="29" t="e">
        <f t="shared" si="18"/>
        <v>#N/A</v>
      </c>
      <c r="C1055" s="35" t="str" cm="1">
        <f t="array" ref="C1055">IF(ISNA(B1055),"",dice(F$2,F$3))</f>
        <v/>
      </c>
    </row>
    <row r="1056" spans="2:3" x14ac:dyDescent="0.25">
      <c r="B1056" s="29" t="e">
        <f t="shared" si="18"/>
        <v>#N/A</v>
      </c>
      <c r="C1056" s="35" t="str" cm="1">
        <f t="array" ref="C1056">IF(ISNA(B1056),"",dice(F$2,F$3))</f>
        <v/>
      </c>
    </row>
    <row r="1057" spans="2:3" x14ac:dyDescent="0.25">
      <c r="B1057" s="29" t="e">
        <f t="shared" si="18"/>
        <v>#N/A</v>
      </c>
      <c r="C1057" s="35" t="str" cm="1">
        <f t="array" ref="C1057">IF(ISNA(B1057),"",dice(F$2,F$3))</f>
        <v/>
      </c>
    </row>
    <row r="1058" spans="2:3" x14ac:dyDescent="0.25">
      <c r="B1058" s="29" t="e">
        <f t="shared" si="18"/>
        <v>#N/A</v>
      </c>
      <c r="C1058" s="35" t="str" cm="1">
        <f t="array" ref="C1058">IF(ISNA(B1058),"",dice(F$2,F$3))</f>
        <v/>
      </c>
    </row>
    <row r="1059" spans="2:3" x14ac:dyDescent="0.25">
      <c r="B1059" s="29" t="e">
        <f t="shared" si="18"/>
        <v>#N/A</v>
      </c>
      <c r="C1059" s="35" t="str" cm="1">
        <f t="array" ref="C1059">IF(ISNA(B1059),"",dice(F$2,F$3))</f>
        <v/>
      </c>
    </row>
    <row r="1060" spans="2:3" x14ac:dyDescent="0.25">
      <c r="B1060" s="29" t="e">
        <f t="shared" si="18"/>
        <v>#N/A</v>
      </c>
      <c r="C1060" s="35" t="str" cm="1">
        <f t="array" ref="C1060">IF(ISNA(B1060),"",dice(F$2,F$3))</f>
        <v/>
      </c>
    </row>
    <row r="1061" spans="2:3" x14ac:dyDescent="0.25">
      <c r="B1061" s="29" t="e">
        <f t="shared" si="18"/>
        <v>#N/A</v>
      </c>
      <c r="C1061" s="35" t="str" cm="1">
        <f t="array" ref="C1061">IF(ISNA(B1061),"",dice(F$2,F$3))</f>
        <v/>
      </c>
    </row>
    <row r="1062" spans="2:3" x14ac:dyDescent="0.25">
      <c r="B1062" s="29" t="e">
        <f t="shared" si="18"/>
        <v>#N/A</v>
      </c>
      <c r="C1062" s="35" t="str" cm="1">
        <f t="array" ref="C1062">IF(ISNA(B1062),"",dice(F$2,F$3))</f>
        <v/>
      </c>
    </row>
    <row r="1063" spans="2:3" x14ac:dyDescent="0.25">
      <c r="B1063" s="29" t="e">
        <f t="shared" si="18"/>
        <v>#N/A</v>
      </c>
      <c r="C1063" s="35" t="str" cm="1">
        <f t="array" ref="C1063">IF(ISNA(B1063),"",dice(F$2,F$3))</f>
        <v/>
      </c>
    </row>
    <row r="1064" spans="2:3" x14ac:dyDescent="0.25">
      <c r="B1064" s="29" t="e">
        <f t="shared" si="18"/>
        <v>#N/A</v>
      </c>
      <c r="C1064" s="35" t="str" cm="1">
        <f t="array" ref="C1064">IF(ISNA(B1064),"",dice(F$2,F$3))</f>
        <v/>
      </c>
    </row>
    <row r="1065" spans="2:3" x14ac:dyDescent="0.25">
      <c r="B1065" s="29" t="e">
        <f t="shared" si="18"/>
        <v>#N/A</v>
      </c>
      <c r="C1065" s="35" t="str" cm="1">
        <f t="array" ref="C1065">IF(ISNA(B1065),"",dice(F$2,F$3))</f>
        <v/>
      </c>
    </row>
    <row r="1066" spans="2:3" x14ac:dyDescent="0.25">
      <c r="B1066" s="29" t="e">
        <f t="shared" si="18"/>
        <v>#N/A</v>
      </c>
      <c r="C1066" s="35" t="str" cm="1">
        <f t="array" ref="C1066">IF(ISNA(B1066),"",dice(F$2,F$3))</f>
        <v/>
      </c>
    </row>
    <row r="1067" spans="2:3" x14ac:dyDescent="0.25">
      <c r="B1067" s="29" t="e">
        <f t="shared" si="18"/>
        <v>#N/A</v>
      </c>
      <c r="C1067" s="35" t="str" cm="1">
        <f t="array" ref="C1067">IF(ISNA(B1067),"",dice(F$2,F$3))</f>
        <v/>
      </c>
    </row>
    <row r="1068" spans="2:3" x14ac:dyDescent="0.25">
      <c r="B1068" s="29" t="e">
        <f t="shared" si="18"/>
        <v>#N/A</v>
      </c>
      <c r="C1068" s="35" t="str" cm="1">
        <f t="array" ref="C1068">IF(ISNA(B1068),"",dice(F$2,F$3))</f>
        <v/>
      </c>
    </row>
    <row r="1069" spans="2:3" x14ac:dyDescent="0.25">
      <c r="B1069" s="29" t="e">
        <f t="shared" si="18"/>
        <v>#N/A</v>
      </c>
      <c r="C1069" s="35" t="str" cm="1">
        <f t="array" ref="C1069">IF(ISNA(B1069),"",dice(F$2,F$3))</f>
        <v/>
      </c>
    </row>
    <row r="1070" spans="2:3" x14ac:dyDescent="0.25">
      <c r="B1070" s="29" t="e">
        <f t="shared" si="18"/>
        <v>#N/A</v>
      </c>
      <c r="C1070" s="35" t="str" cm="1">
        <f t="array" ref="C1070">IF(ISNA(B1070),"",dice(F$2,F$3))</f>
        <v/>
      </c>
    </row>
    <row r="1071" spans="2:3" x14ac:dyDescent="0.25">
      <c r="B1071" s="29" t="e">
        <f t="shared" si="18"/>
        <v>#N/A</v>
      </c>
      <c r="C1071" s="35" t="str" cm="1">
        <f t="array" ref="C1071">IF(ISNA(B1071),"",dice(F$2,F$3))</f>
        <v/>
      </c>
    </row>
    <row r="1072" spans="2:3" x14ac:dyDescent="0.25">
      <c r="B1072" s="29" t="e">
        <f t="shared" si="18"/>
        <v>#N/A</v>
      </c>
      <c r="C1072" s="35" t="str" cm="1">
        <f t="array" ref="C1072">IF(ISNA(B1072),"",dice(F$2,F$3))</f>
        <v/>
      </c>
    </row>
    <row r="1073" spans="2:3" x14ac:dyDescent="0.25">
      <c r="B1073" s="29" t="e">
        <f t="shared" si="18"/>
        <v>#N/A</v>
      </c>
      <c r="C1073" s="35" t="str" cm="1">
        <f t="array" ref="C1073">IF(ISNA(B1073),"",dice(F$2,F$3))</f>
        <v/>
      </c>
    </row>
    <row r="1074" spans="2:3" x14ac:dyDescent="0.25">
      <c r="B1074" s="29" t="e">
        <f t="shared" si="18"/>
        <v>#N/A</v>
      </c>
      <c r="C1074" s="35" t="str" cm="1">
        <f t="array" ref="C1074">IF(ISNA(B1074),"",dice(F$2,F$3))</f>
        <v/>
      </c>
    </row>
    <row r="1075" spans="2:3" x14ac:dyDescent="0.25">
      <c r="B1075" s="29" t="e">
        <f t="shared" si="18"/>
        <v>#N/A</v>
      </c>
      <c r="C1075" s="35" t="str" cm="1">
        <f t="array" ref="C1075">IF(ISNA(B1075),"",dice(F$2,F$3))</f>
        <v/>
      </c>
    </row>
    <row r="1076" spans="2:3" x14ac:dyDescent="0.25">
      <c r="B1076" s="29" t="e">
        <f t="shared" si="18"/>
        <v>#N/A</v>
      </c>
      <c r="C1076" s="35" t="str" cm="1">
        <f t="array" ref="C1076">IF(ISNA(B1076),"",dice(F$2,F$3))</f>
        <v/>
      </c>
    </row>
    <row r="1077" spans="2:3" x14ac:dyDescent="0.25">
      <c r="B1077" s="29" t="e">
        <f t="shared" si="18"/>
        <v>#N/A</v>
      </c>
      <c r="C1077" s="35" t="str" cm="1">
        <f t="array" ref="C1077">IF(ISNA(B1077),"",dice(F$2,F$3))</f>
        <v/>
      </c>
    </row>
    <row r="1078" spans="2:3" x14ac:dyDescent="0.25">
      <c r="B1078" s="29" t="e">
        <f t="shared" si="18"/>
        <v>#N/A</v>
      </c>
      <c r="C1078" s="35" t="str" cm="1">
        <f t="array" ref="C1078">IF(ISNA(B1078),"",dice(F$2,F$3))</f>
        <v/>
      </c>
    </row>
    <row r="1079" spans="2:3" x14ac:dyDescent="0.25">
      <c r="B1079" s="29" t="e">
        <f t="shared" si="18"/>
        <v>#N/A</v>
      </c>
      <c r="C1079" s="35" t="str" cm="1">
        <f t="array" ref="C1079">IF(ISNA(B1079),"",dice(F$2,F$3))</f>
        <v/>
      </c>
    </row>
    <row r="1080" spans="2:3" x14ac:dyDescent="0.25">
      <c r="B1080" s="29" t="e">
        <f t="shared" si="18"/>
        <v>#N/A</v>
      </c>
      <c r="C1080" s="35" t="str" cm="1">
        <f t="array" ref="C1080">IF(ISNA(B1080),"",dice(F$2,F$3))</f>
        <v/>
      </c>
    </row>
    <row r="1081" spans="2:3" x14ac:dyDescent="0.25">
      <c r="B1081" s="29" t="e">
        <f t="shared" si="18"/>
        <v>#N/A</v>
      </c>
      <c r="C1081" s="35" t="str" cm="1">
        <f t="array" ref="C1081">IF(ISNA(B1081),"",dice(F$2,F$3))</f>
        <v/>
      </c>
    </row>
    <row r="1082" spans="2:3" x14ac:dyDescent="0.25">
      <c r="B1082" s="29" t="e">
        <f t="shared" si="18"/>
        <v>#N/A</v>
      </c>
      <c r="C1082" s="35" t="str" cm="1">
        <f t="array" ref="C1082">IF(ISNA(B1082),"",dice(F$2,F$3))</f>
        <v/>
      </c>
    </row>
    <row r="1083" spans="2:3" x14ac:dyDescent="0.25">
      <c r="B1083" s="29" t="e">
        <f t="shared" si="18"/>
        <v>#N/A</v>
      </c>
      <c r="C1083" s="1" t="str" cm="1">
        <f t="array" ref="C1083">IF(ISNA(B1083),"",dice(F$2,F$3))</f>
        <v/>
      </c>
    </row>
    <row r="1084" spans="2:3" x14ac:dyDescent="0.25">
      <c r="B1084" s="29" t="e">
        <f t="shared" si="18"/>
        <v>#N/A</v>
      </c>
      <c r="C1084" s="1" t="str" cm="1">
        <f t="array" ref="C1084">IF(ISNA(B1084),"",dice(F$2,F$3))</f>
        <v/>
      </c>
    </row>
    <row r="1085" spans="2:3" x14ac:dyDescent="0.25">
      <c r="B1085" s="29" t="e">
        <f t="shared" si="18"/>
        <v>#N/A</v>
      </c>
      <c r="C1085" s="1" t="str" cm="1">
        <f t="array" ref="C1085">IF(ISNA(B1085),"",dice(F$2,F$3))</f>
        <v/>
      </c>
    </row>
    <row r="1086" spans="2:3" x14ac:dyDescent="0.25">
      <c r="B1086" s="29" t="e">
        <f t="shared" si="18"/>
        <v>#N/A</v>
      </c>
      <c r="C1086" s="1" t="str" cm="1">
        <f t="array" ref="C1086">IF(ISNA(B1086),"",dice(F$2,F$3))</f>
        <v/>
      </c>
    </row>
    <row r="1087" spans="2:3" x14ac:dyDescent="0.25">
      <c r="B1087" s="29" t="e">
        <f t="shared" si="18"/>
        <v>#N/A</v>
      </c>
      <c r="C1087" s="1" t="str" cm="1">
        <f t="array" ref="C1087">IF(ISNA(B1087),"",dice(F$2,F$3))</f>
        <v/>
      </c>
    </row>
    <row r="1088" spans="2:3" x14ac:dyDescent="0.25">
      <c r="B1088" s="29" t="e">
        <f t="shared" si="18"/>
        <v>#N/A</v>
      </c>
      <c r="C1088" s="1" t="str" cm="1">
        <f t="array" ref="C1088">IF(ISNA(B1088),"",dice(F$2,F$3))</f>
        <v/>
      </c>
    </row>
    <row r="1089" spans="2:3" x14ac:dyDescent="0.25">
      <c r="B1089" s="29" t="e">
        <f t="shared" si="18"/>
        <v>#N/A</v>
      </c>
      <c r="C1089" s="1" t="str" cm="1">
        <f t="array" ref="C1089">IF(ISNA(B1089),"",dice(F$2,F$3))</f>
        <v/>
      </c>
    </row>
    <row r="1090" spans="2:3" x14ac:dyDescent="0.25">
      <c r="B1090" s="29" t="e">
        <f t="shared" si="18"/>
        <v>#N/A</v>
      </c>
      <c r="C1090" s="1" t="str" cm="1">
        <f t="array" ref="C1090">IF(ISNA(B1090),"",dice(F$2,F$3))</f>
        <v/>
      </c>
    </row>
    <row r="1091" spans="2:3" x14ac:dyDescent="0.25">
      <c r="B1091" s="29" t="e">
        <f t="shared" si="18"/>
        <v>#N/A</v>
      </c>
      <c r="C1091" s="1" t="str" cm="1">
        <f t="array" ref="C1091">IF(ISNA(B1091),"",dice(F$2,F$3))</f>
        <v/>
      </c>
    </row>
    <row r="1092" spans="2:3" x14ac:dyDescent="0.25">
      <c r="B1092" s="29" t="e">
        <f t="shared" si="18"/>
        <v>#N/A</v>
      </c>
      <c r="C1092" s="1" t="str" cm="1">
        <f t="array" ref="C1092">IF(ISNA(B1092),"",dice(F$2,F$3))</f>
        <v/>
      </c>
    </row>
    <row r="1093" spans="2:3" x14ac:dyDescent="0.25">
      <c r="B1093" s="29" t="e">
        <f t="shared" si="18"/>
        <v>#N/A</v>
      </c>
      <c r="C1093" s="1" t="str" cm="1">
        <f t="array" ref="C1093">IF(ISNA(B1093),"",dice(F$2,F$3))</f>
        <v/>
      </c>
    </row>
    <row r="1094" spans="2:3" x14ac:dyDescent="0.25">
      <c r="B1094" s="29" t="e">
        <f t="shared" si="18"/>
        <v>#N/A</v>
      </c>
      <c r="C1094" s="1" t="str" cm="1">
        <f t="array" ref="C1094">IF(ISNA(B1094),"",dice(F$2,F$3))</f>
        <v/>
      </c>
    </row>
    <row r="1095" spans="2:3" x14ac:dyDescent="0.25">
      <c r="B1095" s="29" t="e">
        <f t="shared" si="18"/>
        <v>#N/A</v>
      </c>
      <c r="C1095" s="1" t="str" cm="1">
        <f t="array" ref="C1095">IF(ISNA(B1095),"",dice(F$2,F$3))</f>
        <v/>
      </c>
    </row>
    <row r="1096" spans="2:3" x14ac:dyDescent="0.25">
      <c r="B1096" s="29" t="e">
        <f t="shared" si="18"/>
        <v>#N/A</v>
      </c>
      <c r="C1096" s="1" t="str" cm="1">
        <f t="array" ref="C1096">IF(ISNA(B1096),"",dice(F$2,F$3))</f>
        <v/>
      </c>
    </row>
    <row r="1097" spans="2:3" x14ac:dyDescent="0.25">
      <c r="B1097" s="29" t="e">
        <f t="shared" ref="B1097:B1160" si="19">IF(B1096&lt;F$4,B1096+1,NA())</f>
        <v>#N/A</v>
      </c>
      <c r="C1097" s="1" t="str" cm="1">
        <f t="array" ref="C1097">IF(ISNA(B1097),"",dice(F$2,F$3))</f>
        <v/>
      </c>
    </row>
    <row r="1098" spans="2:3" x14ac:dyDescent="0.25">
      <c r="B1098" s="29" t="e">
        <f t="shared" si="19"/>
        <v>#N/A</v>
      </c>
      <c r="C1098" s="1" t="str" cm="1">
        <f t="array" ref="C1098">IF(ISNA(B1098),"",dice(F$2,F$3))</f>
        <v/>
      </c>
    </row>
    <row r="1099" spans="2:3" x14ac:dyDescent="0.25">
      <c r="B1099" s="29" t="e">
        <f t="shared" si="19"/>
        <v>#N/A</v>
      </c>
      <c r="C1099" s="1" t="str" cm="1">
        <f t="array" ref="C1099">IF(ISNA(B1099),"",dice(F$2,F$3))</f>
        <v/>
      </c>
    </row>
    <row r="1100" spans="2:3" x14ac:dyDescent="0.25">
      <c r="B1100" s="29" t="e">
        <f t="shared" si="19"/>
        <v>#N/A</v>
      </c>
      <c r="C1100" s="1" t="str" cm="1">
        <f t="array" ref="C1100">IF(ISNA(B1100),"",dice(F$2,F$3))</f>
        <v/>
      </c>
    </row>
    <row r="1101" spans="2:3" x14ac:dyDescent="0.25">
      <c r="B1101" s="29" t="e">
        <f t="shared" si="19"/>
        <v>#N/A</v>
      </c>
      <c r="C1101" s="1" t="str" cm="1">
        <f t="array" ref="C1101">IF(ISNA(B1101),"",dice(F$2,F$3))</f>
        <v/>
      </c>
    </row>
    <row r="1102" spans="2:3" x14ac:dyDescent="0.25">
      <c r="B1102" s="29" t="e">
        <f t="shared" si="19"/>
        <v>#N/A</v>
      </c>
      <c r="C1102" s="1" t="str" cm="1">
        <f t="array" ref="C1102">IF(ISNA(B1102),"",dice(F$2,F$3))</f>
        <v/>
      </c>
    </row>
    <row r="1103" spans="2:3" x14ac:dyDescent="0.25">
      <c r="B1103" s="29" t="e">
        <f t="shared" si="19"/>
        <v>#N/A</v>
      </c>
      <c r="C1103" s="1" t="str" cm="1">
        <f t="array" ref="C1103">IF(ISNA(B1103),"",dice(F$2,F$3))</f>
        <v/>
      </c>
    </row>
    <row r="1104" spans="2:3" x14ac:dyDescent="0.25">
      <c r="B1104" s="29" t="e">
        <f t="shared" si="19"/>
        <v>#N/A</v>
      </c>
      <c r="C1104" s="1" t="str" cm="1">
        <f t="array" ref="C1104">IF(ISNA(B1104),"",dice(F$2,F$3))</f>
        <v/>
      </c>
    </row>
    <row r="1105" spans="2:3" x14ac:dyDescent="0.25">
      <c r="B1105" s="29" t="e">
        <f t="shared" si="19"/>
        <v>#N/A</v>
      </c>
      <c r="C1105" s="1" t="str" cm="1">
        <f t="array" ref="C1105">IF(ISNA(B1105),"",dice(F$2,F$3))</f>
        <v/>
      </c>
    </row>
    <row r="1106" spans="2:3" x14ac:dyDescent="0.25">
      <c r="B1106" s="29" t="e">
        <f t="shared" si="19"/>
        <v>#N/A</v>
      </c>
      <c r="C1106" s="1" t="str" cm="1">
        <f t="array" ref="C1106">IF(ISNA(B1106),"",dice(F$2,F$3))</f>
        <v/>
      </c>
    </row>
    <row r="1107" spans="2:3" x14ac:dyDescent="0.25">
      <c r="B1107" s="29" t="e">
        <f t="shared" si="19"/>
        <v>#N/A</v>
      </c>
      <c r="C1107" s="1" t="str" cm="1">
        <f t="array" ref="C1107">IF(ISNA(B1107),"",dice(F$2,F$3))</f>
        <v/>
      </c>
    </row>
    <row r="1108" spans="2:3" x14ac:dyDescent="0.25">
      <c r="B1108" s="29" t="e">
        <f t="shared" si="19"/>
        <v>#N/A</v>
      </c>
      <c r="C1108" s="1" t="str" cm="1">
        <f t="array" ref="C1108">IF(ISNA(B1108),"",dice(F$2,F$3))</f>
        <v/>
      </c>
    </row>
    <row r="1109" spans="2:3" x14ac:dyDescent="0.25">
      <c r="B1109" s="29" t="e">
        <f t="shared" si="19"/>
        <v>#N/A</v>
      </c>
      <c r="C1109" s="1" t="str" cm="1">
        <f t="array" ref="C1109">IF(ISNA(B1109),"",dice(F$2,F$3))</f>
        <v/>
      </c>
    </row>
    <row r="1110" spans="2:3" x14ac:dyDescent="0.25">
      <c r="B1110" s="29" t="e">
        <f t="shared" si="19"/>
        <v>#N/A</v>
      </c>
      <c r="C1110" s="1" t="str" cm="1">
        <f t="array" ref="C1110">IF(ISNA(B1110),"",dice(F$2,F$3))</f>
        <v/>
      </c>
    </row>
    <row r="1111" spans="2:3" x14ac:dyDescent="0.25">
      <c r="B1111" s="29" t="e">
        <f t="shared" si="19"/>
        <v>#N/A</v>
      </c>
      <c r="C1111" s="1" t="str" cm="1">
        <f t="array" ref="C1111">IF(ISNA(B1111),"",dice(F$2,F$3))</f>
        <v/>
      </c>
    </row>
    <row r="1112" spans="2:3" x14ac:dyDescent="0.25">
      <c r="B1112" s="29" t="e">
        <f t="shared" si="19"/>
        <v>#N/A</v>
      </c>
      <c r="C1112" s="1" t="str" cm="1">
        <f t="array" ref="C1112">IF(ISNA(B1112),"",dice(F$2,F$3))</f>
        <v/>
      </c>
    </row>
    <row r="1113" spans="2:3" x14ac:dyDescent="0.25">
      <c r="B1113" s="29" t="e">
        <f t="shared" si="19"/>
        <v>#N/A</v>
      </c>
      <c r="C1113" s="1" t="str" cm="1">
        <f t="array" ref="C1113">IF(ISNA(B1113),"",dice(F$2,F$3))</f>
        <v/>
      </c>
    </row>
    <row r="1114" spans="2:3" x14ac:dyDescent="0.25">
      <c r="B1114" s="29" t="e">
        <f t="shared" si="19"/>
        <v>#N/A</v>
      </c>
      <c r="C1114" s="1" t="str" cm="1">
        <f t="array" ref="C1114">IF(ISNA(B1114),"",dice(F$2,F$3))</f>
        <v/>
      </c>
    </row>
    <row r="1115" spans="2:3" x14ac:dyDescent="0.25">
      <c r="B1115" s="29" t="e">
        <f t="shared" si="19"/>
        <v>#N/A</v>
      </c>
      <c r="C1115" s="1" t="str" cm="1">
        <f t="array" ref="C1115">IF(ISNA(B1115),"",dice(F$2,F$3))</f>
        <v/>
      </c>
    </row>
    <row r="1116" spans="2:3" x14ac:dyDescent="0.25">
      <c r="B1116" s="29" t="e">
        <f t="shared" si="19"/>
        <v>#N/A</v>
      </c>
      <c r="C1116" s="1" t="str" cm="1">
        <f t="array" ref="C1116">IF(ISNA(B1116),"",dice(F$2,F$3))</f>
        <v/>
      </c>
    </row>
    <row r="1117" spans="2:3" x14ac:dyDescent="0.25">
      <c r="B1117" s="29" t="e">
        <f t="shared" si="19"/>
        <v>#N/A</v>
      </c>
      <c r="C1117" s="1" t="str" cm="1">
        <f t="array" ref="C1117">IF(ISNA(B1117),"",dice(F$2,F$3))</f>
        <v/>
      </c>
    </row>
    <row r="1118" spans="2:3" x14ac:dyDescent="0.25">
      <c r="B1118" s="29" t="e">
        <f t="shared" si="19"/>
        <v>#N/A</v>
      </c>
      <c r="C1118" s="1" t="str" cm="1">
        <f t="array" ref="C1118">IF(ISNA(B1118),"",dice(F$2,F$3))</f>
        <v/>
      </c>
    </row>
    <row r="1119" spans="2:3" x14ac:dyDescent="0.25">
      <c r="B1119" s="29" t="e">
        <f t="shared" si="19"/>
        <v>#N/A</v>
      </c>
      <c r="C1119" s="1" t="str" cm="1">
        <f t="array" ref="C1119">IF(ISNA(B1119),"",dice(F$2,F$3))</f>
        <v/>
      </c>
    </row>
    <row r="1120" spans="2:3" x14ac:dyDescent="0.25">
      <c r="B1120" s="29" t="e">
        <f t="shared" si="19"/>
        <v>#N/A</v>
      </c>
      <c r="C1120" s="1" t="str" cm="1">
        <f t="array" ref="C1120">IF(ISNA(B1120),"",dice(F$2,F$3))</f>
        <v/>
      </c>
    </row>
    <row r="1121" spans="2:3" x14ac:dyDescent="0.25">
      <c r="B1121" s="29" t="e">
        <f t="shared" si="19"/>
        <v>#N/A</v>
      </c>
      <c r="C1121" s="1" t="str" cm="1">
        <f t="array" ref="C1121">IF(ISNA(B1121),"",dice(F$2,F$3))</f>
        <v/>
      </c>
    </row>
    <row r="1122" spans="2:3" x14ac:dyDescent="0.25">
      <c r="B1122" s="29" t="e">
        <f t="shared" si="19"/>
        <v>#N/A</v>
      </c>
      <c r="C1122" s="1" t="str" cm="1">
        <f t="array" ref="C1122">IF(ISNA(B1122),"",dice(F$2,F$3))</f>
        <v/>
      </c>
    </row>
    <row r="1123" spans="2:3" x14ac:dyDescent="0.25">
      <c r="B1123" s="29" t="e">
        <f t="shared" si="19"/>
        <v>#N/A</v>
      </c>
      <c r="C1123" s="1" t="str" cm="1">
        <f t="array" ref="C1123">IF(ISNA(B1123),"",dice(F$2,F$3))</f>
        <v/>
      </c>
    </row>
    <row r="1124" spans="2:3" x14ac:dyDescent="0.25">
      <c r="B1124" s="29" t="e">
        <f t="shared" si="19"/>
        <v>#N/A</v>
      </c>
      <c r="C1124" s="1" t="str" cm="1">
        <f t="array" ref="C1124">IF(ISNA(B1124),"",dice(F$2,F$3))</f>
        <v/>
      </c>
    </row>
    <row r="1125" spans="2:3" x14ac:dyDescent="0.25">
      <c r="B1125" s="29" t="e">
        <f t="shared" si="19"/>
        <v>#N/A</v>
      </c>
      <c r="C1125" s="1" t="str" cm="1">
        <f t="array" ref="C1125">IF(ISNA(B1125),"",dice(F$2,F$3))</f>
        <v/>
      </c>
    </row>
    <row r="1126" spans="2:3" x14ac:dyDescent="0.25">
      <c r="B1126" s="29" t="e">
        <f t="shared" si="19"/>
        <v>#N/A</v>
      </c>
      <c r="C1126" s="1" t="str" cm="1">
        <f t="array" ref="C1126">IF(ISNA(B1126),"",dice(F$2,F$3))</f>
        <v/>
      </c>
    </row>
    <row r="1127" spans="2:3" x14ac:dyDescent="0.25">
      <c r="B1127" s="29" t="e">
        <f t="shared" si="19"/>
        <v>#N/A</v>
      </c>
      <c r="C1127" s="1" t="str" cm="1">
        <f t="array" ref="C1127">IF(ISNA(B1127),"",dice(F$2,F$3))</f>
        <v/>
      </c>
    </row>
    <row r="1128" spans="2:3" x14ac:dyDescent="0.25">
      <c r="B1128" s="29" t="e">
        <f t="shared" si="19"/>
        <v>#N/A</v>
      </c>
      <c r="C1128" s="1" t="str" cm="1">
        <f t="array" ref="C1128">IF(ISNA(B1128),"",dice(F$2,F$3))</f>
        <v/>
      </c>
    </row>
    <row r="1129" spans="2:3" x14ac:dyDescent="0.25">
      <c r="B1129" s="29" t="e">
        <f t="shared" si="19"/>
        <v>#N/A</v>
      </c>
      <c r="C1129" s="1" t="str" cm="1">
        <f t="array" ref="C1129">IF(ISNA(B1129),"",dice(F$2,F$3))</f>
        <v/>
      </c>
    </row>
    <row r="1130" spans="2:3" x14ac:dyDescent="0.25">
      <c r="B1130" s="29" t="e">
        <f t="shared" si="19"/>
        <v>#N/A</v>
      </c>
      <c r="C1130" s="1" t="str" cm="1">
        <f t="array" ref="C1130">IF(ISNA(B1130),"",dice(F$2,F$3))</f>
        <v/>
      </c>
    </row>
    <row r="1131" spans="2:3" x14ac:dyDescent="0.25">
      <c r="B1131" s="29" t="e">
        <f t="shared" si="19"/>
        <v>#N/A</v>
      </c>
      <c r="C1131" s="1" t="str" cm="1">
        <f t="array" ref="C1131">IF(ISNA(B1131),"",dice(F$2,F$3))</f>
        <v/>
      </c>
    </row>
    <row r="1132" spans="2:3" x14ac:dyDescent="0.25">
      <c r="B1132" s="29" t="e">
        <f t="shared" si="19"/>
        <v>#N/A</v>
      </c>
      <c r="C1132" s="1" t="str" cm="1">
        <f t="array" ref="C1132">IF(ISNA(B1132),"",dice(F$2,F$3))</f>
        <v/>
      </c>
    </row>
    <row r="1133" spans="2:3" x14ac:dyDescent="0.25">
      <c r="B1133" s="29" t="e">
        <f t="shared" si="19"/>
        <v>#N/A</v>
      </c>
      <c r="C1133" s="1" t="str" cm="1">
        <f t="array" ref="C1133">IF(ISNA(B1133),"",dice(F$2,F$3))</f>
        <v/>
      </c>
    </row>
    <row r="1134" spans="2:3" x14ac:dyDescent="0.25">
      <c r="B1134" s="29" t="e">
        <f t="shared" si="19"/>
        <v>#N/A</v>
      </c>
      <c r="C1134" s="1" t="str" cm="1">
        <f t="array" ref="C1134">IF(ISNA(B1134),"",dice(F$2,F$3))</f>
        <v/>
      </c>
    </row>
    <row r="1135" spans="2:3" x14ac:dyDescent="0.25">
      <c r="B1135" s="29" t="e">
        <f t="shared" si="19"/>
        <v>#N/A</v>
      </c>
      <c r="C1135" s="1" t="str" cm="1">
        <f t="array" ref="C1135">IF(ISNA(B1135),"",dice(F$2,F$3))</f>
        <v/>
      </c>
    </row>
    <row r="1136" spans="2:3" x14ac:dyDescent="0.25">
      <c r="B1136" s="29" t="e">
        <f t="shared" si="19"/>
        <v>#N/A</v>
      </c>
      <c r="C1136" s="1" t="str" cm="1">
        <f t="array" ref="C1136">IF(ISNA(B1136),"",dice(F$2,F$3))</f>
        <v/>
      </c>
    </row>
    <row r="1137" spans="2:3" x14ac:dyDescent="0.25">
      <c r="B1137" s="29" t="e">
        <f t="shared" si="19"/>
        <v>#N/A</v>
      </c>
      <c r="C1137" s="1" t="str" cm="1">
        <f t="array" ref="C1137">IF(ISNA(B1137),"",dice(F$2,F$3))</f>
        <v/>
      </c>
    </row>
    <row r="1138" spans="2:3" x14ac:dyDescent="0.25">
      <c r="B1138" s="29" t="e">
        <f t="shared" si="19"/>
        <v>#N/A</v>
      </c>
      <c r="C1138" s="1" t="str" cm="1">
        <f t="array" ref="C1138">IF(ISNA(B1138),"",dice(F$2,F$3))</f>
        <v/>
      </c>
    </row>
    <row r="1139" spans="2:3" x14ac:dyDescent="0.25">
      <c r="B1139" s="29" t="e">
        <f t="shared" si="19"/>
        <v>#N/A</v>
      </c>
      <c r="C1139" s="1" t="str" cm="1">
        <f t="array" ref="C1139">IF(ISNA(B1139),"",dice(F$2,F$3))</f>
        <v/>
      </c>
    </row>
    <row r="1140" spans="2:3" x14ac:dyDescent="0.25">
      <c r="B1140" s="29" t="e">
        <f t="shared" si="19"/>
        <v>#N/A</v>
      </c>
      <c r="C1140" s="1" t="str" cm="1">
        <f t="array" ref="C1140">IF(ISNA(B1140),"",dice(F$2,F$3))</f>
        <v/>
      </c>
    </row>
    <row r="1141" spans="2:3" x14ac:dyDescent="0.25">
      <c r="B1141" s="29" t="e">
        <f t="shared" si="19"/>
        <v>#N/A</v>
      </c>
      <c r="C1141" s="1" t="str" cm="1">
        <f t="array" ref="C1141">IF(ISNA(B1141),"",dice(F$2,F$3))</f>
        <v/>
      </c>
    </row>
    <row r="1142" spans="2:3" x14ac:dyDescent="0.25">
      <c r="B1142" s="29" t="e">
        <f t="shared" si="19"/>
        <v>#N/A</v>
      </c>
      <c r="C1142" s="1" t="str" cm="1">
        <f t="array" ref="C1142">IF(ISNA(B1142),"",dice(F$2,F$3))</f>
        <v/>
      </c>
    </row>
    <row r="1143" spans="2:3" x14ac:dyDescent="0.25">
      <c r="B1143" s="29" t="e">
        <f t="shared" si="19"/>
        <v>#N/A</v>
      </c>
      <c r="C1143" s="1" t="str" cm="1">
        <f t="array" ref="C1143">IF(ISNA(B1143),"",dice(F$2,F$3))</f>
        <v/>
      </c>
    </row>
    <row r="1144" spans="2:3" x14ac:dyDescent="0.25">
      <c r="B1144" s="29" t="e">
        <f t="shared" si="19"/>
        <v>#N/A</v>
      </c>
      <c r="C1144" s="1" t="str" cm="1">
        <f t="array" ref="C1144">IF(ISNA(B1144),"",dice(F$2,F$3))</f>
        <v/>
      </c>
    </row>
    <row r="1145" spans="2:3" x14ac:dyDescent="0.25">
      <c r="B1145" s="29" t="e">
        <f t="shared" si="19"/>
        <v>#N/A</v>
      </c>
      <c r="C1145" s="1" t="str" cm="1">
        <f t="array" ref="C1145">IF(ISNA(B1145),"",dice(F$2,F$3))</f>
        <v/>
      </c>
    </row>
    <row r="1146" spans="2:3" x14ac:dyDescent="0.25">
      <c r="B1146" s="29" t="e">
        <f t="shared" si="19"/>
        <v>#N/A</v>
      </c>
      <c r="C1146" s="1" t="str" cm="1">
        <f t="array" ref="C1146">IF(ISNA(B1146),"",dice(F$2,F$3))</f>
        <v/>
      </c>
    </row>
    <row r="1147" spans="2:3" x14ac:dyDescent="0.25">
      <c r="B1147" s="29" t="e">
        <f t="shared" si="19"/>
        <v>#N/A</v>
      </c>
      <c r="C1147" s="1" t="str" cm="1">
        <f t="array" ref="C1147">IF(ISNA(B1147),"",dice(F$2,F$3))</f>
        <v/>
      </c>
    </row>
    <row r="1148" spans="2:3" x14ac:dyDescent="0.25">
      <c r="B1148" s="29" t="e">
        <f t="shared" si="19"/>
        <v>#N/A</v>
      </c>
      <c r="C1148" s="1" t="str" cm="1">
        <f t="array" ref="C1148">IF(ISNA(B1148),"",dice(F$2,F$3))</f>
        <v/>
      </c>
    </row>
    <row r="1149" spans="2:3" x14ac:dyDescent="0.25">
      <c r="B1149" s="29" t="e">
        <f t="shared" si="19"/>
        <v>#N/A</v>
      </c>
      <c r="C1149" s="1" t="str" cm="1">
        <f t="array" ref="C1149">IF(ISNA(B1149),"",dice(F$2,F$3))</f>
        <v/>
      </c>
    </row>
    <row r="1150" spans="2:3" x14ac:dyDescent="0.25">
      <c r="B1150" s="29" t="e">
        <f t="shared" si="19"/>
        <v>#N/A</v>
      </c>
      <c r="C1150" s="1" t="str" cm="1">
        <f t="array" ref="C1150">IF(ISNA(B1150),"",dice(F$2,F$3))</f>
        <v/>
      </c>
    </row>
    <row r="1151" spans="2:3" x14ac:dyDescent="0.25">
      <c r="B1151" s="29" t="e">
        <f t="shared" si="19"/>
        <v>#N/A</v>
      </c>
      <c r="C1151" s="1" t="str" cm="1">
        <f t="array" ref="C1151">IF(ISNA(B1151),"",dice(F$2,F$3))</f>
        <v/>
      </c>
    </row>
    <row r="1152" spans="2:3" x14ac:dyDescent="0.25">
      <c r="B1152" s="29" t="e">
        <f t="shared" si="19"/>
        <v>#N/A</v>
      </c>
      <c r="C1152" s="1" t="str" cm="1">
        <f t="array" ref="C1152">IF(ISNA(B1152),"",dice(F$2,F$3))</f>
        <v/>
      </c>
    </row>
    <row r="1153" spans="2:3" x14ac:dyDescent="0.25">
      <c r="B1153" s="29" t="e">
        <f t="shared" si="19"/>
        <v>#N/A</v>
      </c>
      <c r="C1153" s="1" t="str" cm="1">
        <f t="array" ref="C1153">IF(ISNA(B1153),"",dice(F$2,F$3))</f>
        <v/>
      </c>
    </row>
    <row r="1154" spans="2:3" x14ac:dyDescent="0.25">
      <c r="B1154" s="29" t="e">
        <f t="shared" si="19"/>
        <v>#N/A</v>
      </c>
      <c r="C1154" s="1" t="str" cm="1">
        <f t="array" ref="C1154">IF(ISNA(B1154),"",dice(F$2,F$3))</f>
        <v/>
      </c>
    </row>
    <row r="1155" spans="2:3" x14ac:dyDescent="0.25">
      <c r="B1155" s="29" t="e">
        <f t="shared" si="19"/>
        <v>#N/A</v>
      </c>
      <c r="C1155" s="1" t="str" cm="1">
        <f t="array" ref="C1155">IF(ISNA(B1155),"",dice(F$2,F$3))</f>
        <v/>
      </c>
    </row>
    <row r="1156" spans="2:3" x14ac:dyDescent="0.25">
      <c r="B1156" s="29" t="e">
        <f t="shared" si="19"/>
        <v>#N/A</v>
      </c>
      <c r="C1156" s="1" t="str" cm="1">
        <f t="array" ref="C1156">IF(ISNA(B1156),"",dice(F$2,F$3))</f>
        <v/>
      </c>
    </row>
    <row r="1157" spans="2:3" x14ac:dyDescent="0.25">
      <c r="B1157" s="29" t="e">
        <f t="shared" si="19"/>
        <v>#N/A</v>
      </c>
      <c r="C1157" s="1" t="str" cm="1">
        <f t="array" ref="C1157">IF(ISNA(B1157),"",dice(F$2,F$3))</f>
        <v/>
      </c>
    </row>
    <row r="1158" spans="2:3" x14ac:dyDescent="0.25">
      <c r="B1158" s="29" t="e">
        <f t="shared" si="19"/>
        <v>#N/A</v>
      </c>
      <c r="C1158" s="1" t="str" cm="1">
        <f t="array" ref="C1158">IF(ISNA(B1158),"",dice(F$2,F$3))</f>
        <v/>
      </c>
    </row>
    <row r="1159" spans="2:3" x14ac:dyDescent="0.25">
      <c r="B1159" s="29" t="e">
        <f t="shared" si="19"/>
        <v>#N/A</v>
      </c>
      <c r="C1159" s="1" t="str" cm="1">
        <f t="array" ref="C1159">IF(ISNA(B1159),"",dice(F$2,F$3))</f>
        <v/>
      </c>
    </row>
    <row r="1160" spans="2:3" x14ac:dyDescent="0.25">
      <c r="B1160" s="29" t="e">
        <f t="shared" si="19"/>
        <v>#N/A</v>
      </c>
      <c r="C1160" s="1" t="str" cm="1">
        <f t="array" ref="C1160">IF(ISNA(B1160),"",dice(F$2,F$3))</f>
        <v/>
      </c>
    </row>
    <row r="1161" spans="2:3" x14ac:dyDescent="0.25">
      <c r="B1161" s="29" t="e">
        <f t="shared" ref="B1161:B1206" si="20">IF(B1160&lt;F$4,B1160+1,NA())</f>
        <v>#N/A</v>
      </c>
      <c r="C1161" s="1" t="str" cm="1">
        <f t="array" ref="C1161">IF(ISNA(B1161),"",dice(F$2,F$3))</f>
        <v/>
      </c>
    </row>
    <row r="1162" spans="2:3" x14ac:dyDescent="0.25">
      <c r="B1162" s="29" t="e">
        <f t="shared" si="20"/>
        <v>#N/A</v>
      </c>
      <c r="C1162" s="1" t="str" cm="1">
        <f t="array" ref="C1162">IF(ISNA(B1162),"",dice(F$2,F$3))</f>
        <v/>
      </c>
    </row>
    <row r="1163" spans="2:3" x14ac:dyDescent="0.25">
      <c r="B1163" s="29" t="e">
        <f t="shared" si="20"/>
        <v>#N/A</v>
      </c>
      <c r="C1163" s="1" t="str" cm="1">
        <f t="array" ref="C1163">IF(ISNA(B1163),"",dice(F$2,F$3))</f>
        <v/>
      </c>
    </row>
    <row r="1164" spans="2:3" x14ac:dyDescent="0.25">
      <c r="B1164" s="29" t="e">
        <f t="shared" si="20"/>
        <v>#N/A</v>
      </c>
      <c r="C1164" s="1" t="str" cm="1">
        <f t="array" ref="C1164">IF(ISNA(B1164),"",dice(F$2,F$3))</f>
        <v/>
      </c>
    </row>
    <row r="1165" spans="2:3" x14ac:dyDescent="0.25">
      <c r="B1165" s="29" t="e">
        <f t="shared" si="20"/>
        <v>#N/A</v>
      </c>
      <c r="C1165" s="1" t="str" cm="1">
        <f t="array" ref="C1165">IF(ISNA(B1165),"",dice(F$2,F$3))</f>
        <v/>
      </c>
    </row>
    <row r="1166" spans="2:3" x14ac:dyDescent="0.25">
      <c r="B1166" s="29" t="e">
        <f t="shared" si="20"/>
        <v>#N/A</v>
      </c>
      <c r="C1166" s="1" t="str" cm="1">
        <f t="array" ref="C1166">IF(ISNA(B1166),"",dice(F$2,F$3))</f>
        <v/>
      </c>
    </row>
    <row r="1167" spans="2:3" x14ac:dyDescent="0.25">
      <c r="B1167" s="29" t="e">
        <f t="shared" si="20"/>
        <v>#N/A</v>
      </c>
      <c r="C1167" s="1" t="str" cm="1">
        <f t="array" ref="C1167">IF(ISNA(B1167),"",dice(F$2,F$3))</f>
        <v/>
      </c>
    </row>
    <row r="1168" spans="2:3" x14ac:dyDescent="0.25">
      <c r="B1168" s="29" t="e">
        <f t="shared" si="20"/>
        <v>#N/A</v>
      </c>
      <c r="C1168" s="1" t="str" cm="1">
        <f t="array" ref="C1168">IF(ISNA(B1168),"",dice(F$2,F$3))</f>
        <v/>
      </c>
    </row>
    <row r="1169" spans="2:3" x14ac:dyDescent="0.25">
      <c r="B1169" s="29" t="e">
        <f t="shared" si="20"/>
        <v>#N/A</v>
      </c>
      <c r="C1169" s="1" t="str" cm="1">
        <f t="array" ref="C1169">IF(ISNA(B1169),"",dice(F$2,F$3))</f>
        <v/>
      </c>
    </row>
    <row r="1170" spans="2:3" x14ac:dyDescent="0.25">
      <c r="B1170" s="29" t="e">
        <f t="shared" si="20"/>
        <v>#N/A</v>
      </c>
      <c r="C1170" s="1" t="str" cm="1">
        <f t="array" ref="C1170">IF(ISNA(B1170),"",dice(F$2,F$3))</f>
        <v/>
      </c>
    </row>
    <row r="1171" spans="2:3" x14ac:dyDescent="0.25">
      <c r="B1171" s="29" t="e">
        <f t="shared" si="20"/>
        <v>#N/A</v>
      </c>
      <c r="C1171" s="1" t="str" cm="1">
        <f t="array" ref="C1171">IF(ISNA(B1171),"",dice(F$2,F$3))</f>
        <v/>
      </c>
    </row>
    <row r="1172" spans="2:3" x14ac:dyDescent="0.25">
      <c r="B1172" s="29" t="e">
        <f t="shared" si="20"/>
        <v>#N/A</v>
      </c>
      <c r="C1172" s="1" t="str" cm="1">
        <f t="array" ref="C1172">IF(ISNA(B1172),"",dice(F$2,F$3))</f>
        <v/>
      </c>
    </row>
    <row r="1173" spans="2:3" x14ac:dyDescent="0.25">
      <c r="B1173" s="29" t="e">
        <f t="shared" si="20"/>
        <v>#N/A</v>
      </c>
      <c r="C1173" s="1" t="str" cm="1">
        <f t="array" ref="C1173">IF(ISNA(B1173),"",dice(F$2,F$3))</f>
        <v/>
      </c>
    </row>
    <row r="1174" spans="2:3" x14ac:dyDescent="0.25">
      <c r="B1174" s="29" t="e">
        <f t="shared" si="20"/>
        <v>#N/A</v>
      </c>
      <c r="C1174" s="1" t="str" cm="1">
        <f t="array" ref="C1174">IF(ISNA(B1174),"",dice(F$2,F$3))</f>
        <v/>
      </c>
    </row>
    <row r="1175" spans="2:3" x14ac:dyDescent="0.25">
      <c r="B1175" s="29" t="e">
        <f t="shared" si="20"/>
        <v>#N/A</v>
      </c>
      <c r="C1175" s="1" t="str" cm="1">
        <f t="array" ref="C1175">IF(ISNA(B1175),"",dice(F$2,F$3))</f>
        <v/>
      </c>
    </row>
    <row r="1176" spans="2:3" x14ac:dyDescent="0.25">
      <c r="B1176" s="29" t="e">
        <f t="shared" si="20"/>
        <v>#N/A</v>
      </c>
      <c r="C1176" s="1" t="str" cm="1">
        <f t="array" ref="C1176">IF(ISNA(B1176),"",dice(F$2,F$3))</f>
        <v/>
      </c>
    </row>
    <row r="1177" spans="2:3" x14ac:dyDescent="0.25">
      <c r="B1177" s="29" t="e">
        <f t="shared" si="20"/>
        <v>#N/A</v>
      </c>
      <c r="C1177" s="1" t="str" cm="1">
        <f t="array" ref="C1177">IF(ISNA(B1177),"",dice(F$2,F$3))</f>
        <v/>
      </c>
    </row>
    <row r="1178" spans="2:3" x14ac:dyDescent="0.25">
      <c r="B1178" s="29" t="e">
        <f t="shared" si="20"/>
        <v>#N/A</v>
      </c>
      <c r="C1178" s="1" t="str" cm="1">
        <f t="array" ref="C1178">IF(ISNA(B1178),"",dice(F$2,F$3))</f>
        <v/>
      </c>
    </row>
    <row r="1179" spans="2:3" x14ac:dyDescent="0.25">
      <c r="B1179" s="29" t="e">
        <f t="shared" si="20"/>
        <v>#N/A</v>
      </c>
      <c r="C1179" s="1" t="str" cm="1">
        <f t="array" ref="C1179">IF(ISNA(B1179),"",dice(F$2,F$3))</f>
        <v/>
      </c>
    </row>
    <row r="1180" spans="2:3" x14ac:dyDescent="0.25">
      <c r="B1180" s="29" t="e">
        <f t="shared" si="20"/>
        <v>#N/A</v>
      </c>
      <c r="C1180" s="1" t="str" cm="1">
        <f t="array" ref="C1180">IF(ISNA(B1180),"",dice(F$2,F$3))</f>
        <v/>
      </c>
    </row>
    <row r="1181" spans="2:3" x14ac:dyDescent="0.25">
      <c r="B1181" s="29" t="e">
        <f t="shared" si="20"/>
        <v>#N/A</v>
      </c>
      <c r="C1181" s="1" t="str" cm="1">
        <f t="array" ref="C1181">IF(ISNA(B1181),"",dice(F$2,F$3))</f>
        <v/>
      </c>
    </row>
    <row r="1182" spans="2:3" x14ac:dyDescent="0.25">
      <c r="B1182" s="29" t="e">
        <f t="shared" si="20"/>
        <v>#N/A</v>
      </c>
      <c r="C1182" s="1" t="str" cm="1">
        <f t="array" ref="C1182">IF(ISNA(B1182),"",dice(F$2,F$3))</f>
        <v/>
      </c>
    </row>
    <row r="1183" spans="2:3" x14ac:dyDescent="0.25">
      <c r="B1183" s="29" t="e">
        <f t="shared" si="20"/>
        <v>#N/A</v>
      </c>
      <c r="C1183" s="1" t="str" cm="1">
        <f t="array" ref="C1183">IF(ISNA(B1183),"",dice(F$2,F$3))</f>
        <v/>
      </c>
    </row>
    <row r="1184" spans="2:3" x14ac:dyDescent="0.25">
      <c r="B1184" s="29" t="e">
        <f t="shared" si="20"/>
        <v>#N/A</v>
      </c>
      <c r="C1184" s="1" t="str" cm="1">
        <f t="array" ref="C1184">IF(ISNA(B1184),"",dice(F$2,F$3))</f>
        <v/>
      </c>
    </row>
    <row r="1185" spans="2:3" x14ac:dyDescent="0.25">
      <c r="B1185" s="29" t="e">
        <f t="shared" si="20"/>
        <v>#N/A</v>
      </c>
      <c r="C1185" s="1" t="str" cm="1">
        <f t="array" ref="C1185">IF(ISNA(B1185),"",dice(F$2,F$3))</f>
        <v/>
      </c>
    </row>
    <row r="1186" spans="2:3" x14ac:dyDescent="0.25">
      <c r="B1186" s="29" t="e">
        <f t="shared" si="20"/>
        <v>#N/A</v>
      </c>
      <c r="C1186" s="1" t="str" cm="1">
        <f t="array" ref="C1186">IF(ISNA(B1186),"",dice(F$2,F$3))</f>
        <v/>
      </c>
    </row>
    <row r="1187" spans="2:3" x14ac:dyDescent="0.25">
      <c r="B1187" s="29" t="e">
        <f t="shared" si="20"/>
        <v>#N/A</v>
      </c>
      <c r="C1187" s="1" t="str" cm="1">
        <f t="array" ref="C1187">IF(ISNA(B1187),"",dice(F$2,F$3))</f>
        <v/>
      </c>
    </row>
    <row r="1188" spans="2:3" x14ac:dyDescent="0.25">
      <c r="B1188" s="29" t="e">
        <f t="shared" si="20"/>
        <v>#N/A</v>
      </c>
      <c r="C1188" s="1" t="str" cm="1">
        <f t="array" ref="C1188">IF(ISNA(B1188),"",dice(F$2,F$3))</f>
        <v/>
      </c>
    </row>
    <row r="1189" spans="2:3" x14ac:dyDescent="0.25">
      <c r="B1189" s="29" t="e">
        <f t="shared" si="20"/>
        <v>#N/A</v>
      </c>
      <c r="C1189" s="1" t="str" cm="1">
        <f t="array" ref="C1189">IF(ISNA(B1189),"",dice(F$2,F$3))</f>
        <v/>
      </c>
    </row>
    <row r="1190" spans="2:3" x14ac:dyDescent="0.25">
      <c r="B1190" s="29" t="e">
        <f t="shared" si="20"/>
        <v>#N/A</v>
      </c>
      <c r="C1190" s="1" t="str" cm="1">
        <f t="array" ref="C1190">IF(ISNA(B1190),"",dice(F$2,F$3))</f>
        <v/>
      </c>
    </row>
    <row r="1191" spans="2:3" x14ac:dyDescent="0.25">
      <c r="B1191" s="29" t="e">
        <f t="shared" si="20"/>
        <v>#N/A</v>
      </c>
      <c r="C1191" s="1" t="str" cm="1">
        <f t="array" ref="C1191">IF(ISNA(B1191),"",dice(F$2,F$3))</f>
        <v/>
      </c>
    </row>
    <row r="1192" spans="2:3" x14ac:dyDescent="0.25">
      <c r="B1192" s="29" t="e">
        <f t="shared" si="20"/>
        <v>#N/A</v>
      </c>
      <c r="C1192" s="1" t="str" cm="1">
        <f t="array" ref="C1192">IF(ISNA(B1192),"",dice(F$2,F$3))</f>
        <v/>
      </c>
    </row>
    <row r="1193" spans="2:3" x14ac:dyDescent="0.25">
      <c r="B1193" s="29" t="e">
        <f t="shared" si="20"/>
        <v>#N/A</v>
      </c>
      <c r="C1193" s="1" t="str" cm="1">
        <f t="array" ref="C1193">IF(ISNA(B1193),"",dice(F$2,F$3))</f>
        <v/>
      </c>
    </row>
    <row r="1194" spans="2:3" x14ac:dyDescent="0.25">
      <c r="B1194" s="29" t="e">
        <f t="shared" si="20"/>
        <v>#N/A</v>
      </c>
      <c r="C1194" s="1" t="str" cm="1">
        <f t="array" ref="C1194">IF(ISNA(B1194),"",dice(F$2,F$3))</f>
        <v/>
      </c>
    </row>
    <row r="1195" spans="2:3" x14ac:dyDescent="0.25">
      <c r="B1195" s="29" t="e">
        <f t="shared" si="20"/>
        <v>#N/A</v>
      </c>
      <c r="C1195" s="1" t="str" cm="1">
        <f t="array" ref="C1195">IF(ISNA(B1195),"",dice(F$2,F$3))</f>
        <v/>
      </c>
    </row>
    <row r="1196" spans="2:3" x14ac:dyDescent="0.25">
      <c r="B1196" s="29" t="e">
        <f t="shared" si="20"/>
        <v>#N/A</v>
      </c>
      <c r="C1196" s="1" t="str" cm="1">
        <f t="array" ref="C1196">IF(ISNA(B1196),"",dice(F$2,F$3))</f>
        <v/>
      </c>
    </row>
    <row r="1197" spans="2:3" x14ac:dyDescent="0.25">
      <c r="B1197" s="29" t="e">
        <f t="shared" si="20"/>
        <v>#N/A</v>
      </c>
      <c r="C1197" s="1" t="str" cm="1">
        <f t="array" ref="C1197">IF(ISNA(B1197),"",dice(F$2,F$3))</f>
        <v/>
      </c>
    </row>
    <row r="1198" spans="2:3" x14ac:dyDescent="0.25">
      <c r="B1198" s="29" t="e">
        <f t="shared" si="20"/>
        <v>#N/A</v>
      </c>
      <c r="C1198" s="1" t="str" cm="1">
        <f t="array" ref="C1198">IF(ISNA(B1198),"",dice(F$2,F$3))</f>
        <v/>
      </c>
    </row>
    <row r="1199" spans="2:3" x14ac:dyDescent="0.25">
      <c r="B1199" s="29" t="e">
        <f t="shared" si="20"/>
        <v>#N/A</v>
      </c>
      <c r="C1199" s="1" t="str" cm="1">
        <f t="array" ref="C1199">IF(ISNA(B1199),"",dice(F$2,F$3))</f>
        <v/>
      </c>
    </row>
    <row r="1200" spans="2:3" x14ac:dyDescent="0.25">
      <c r="B1200" s="29" t="e">
        <f t="shared" si="20"/>
        <v>#N/A</v>
      </c>
      <c r="C1200" s="1" t="str" cm="1">
        <f t="array" ref="C1200">IF(ISNA(B1200),"",dice(F$2,F$3))</f>
        <v/>
      </c>
    </row>
    <row r="1201" spans="2:3" x14ac:dyDescent="0.25">
      <c r="B1201" s="29" t="e">
        <f t="shared" si="20"/>
        <v>#N/A</v>
      </c>
      <c r="C1201" s="1" t="str" cm="1">
        <f t="array" ref="C1201">IF(ISNA(B1201),"",dice(F$2,F$3))</f>
        <v/>
      </c>
    </row>
    <row r="1202" spans="2:3" x14ac:dyDescent="0.25">
      <c r="B1202" s="29" t="e">
        <f t="shared" si="20"/>
        <v>#N/A</v>
      </c>
      <c r="C1202" s="1" t="str" cm="1">
        <f t="array" ref="C1202">IF(ISNA(B1202),"",dice(F$2,F$3))</f>
        <v/>
      </c>
    </row>
    <row r="1203" spans="2:3" x14ac:dyDescent="0.25">
      <c r="B1203" s="29" t="e">
        <f t="shared" si="20"/>
        <v>#N/A</v>
      </c>
      <c r="C1203" s="1" t="str" cm="1">
        <f t="array" ref="C1203">IF(ISNA(B1203),"",dice(F$2,F$3))</f>
        <v/>
      </c>
    </row>
    <row r="1204" spans="2:3" x14ac:dyDescent="0.25">
      <c r="B1204" s="29" t="e">
        <f t="shared" si="20"/>
        <v>#N/A</v>
      </c>
      <c r="C1204" s="1" t="str" cm="1">
        <f t="array" ref="C1204">IF(ISNA(B1204),"",dice(F$2,F$3))</f>
        <v/>
      </c>
    </row>
    <row r="1205" spans="2:3" x14ac:dyDescent="0.25">
      <c r="B1205" s="29" t="e">
        <f t="shared" si="20"/>
        <v>#N/A</v>
      </c>
      <c r="C1205" s="1" t="str" cm="1">
        <f t="array" ref="C1205">IF(ISNA(B1205),"",dice(F$2,F$3))</f>
        <v/>
      </c>
    </row>
    <row r="1206" spans="2:3" x14ac:dyDescent="0.25">
      <c r="B1206" s="29" t="e">
        <f t="shared" si="20"/>
        <v>#N/A</v>
      </c>
      <c r="C1206" s="1" t="str" cm="1">
        <f t="array" ref="C1206">IF(ISNA(B1206),"",dice(F$2,F$3))</f>
        <v/>
      </c>
    </row>
    <row r="1207" spans="2:3" x14ac:dyDescent="0.25">
      <c r="B1207" s="29"/>
    </row>
  </sheetData>
  <mergeCells count="8">
    <mergeCell ref="Q26:S26"/>
    <mergeCell ref="Q25:S25"/>
    <mergeCell ref="G2:G3"/>
    <mergeCell ref="R3:V4"/>
    <mergeCell ref="R2:V2"/>
    <mergeCell ref="B3:E3"/>
    <mergeCell ref="B2:E2"/>
    <mergeCell ref="B4:E4"/>
  </mergeCells>
  <hyperlinks>
    <hyperlink ref="R2:U2" r:id="rId1" display="Notes on probabilities with dice rolls." xr:uid="{856D9524-4E0E-4B64-A965-5628B32DC781}"/>
    <hyperlink ref="R3:V4" r:id="rId2" display="Video Explaining this Sheet." xr:uid="{4B8699B8-96E3-46DB-AD21-82CE1911E53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Empirical</vt:lpstr>
      <vt:lpstr>DATA</vt:lpstr>
    </vt:vector>
  </TitlesOfParts>
  <Company>Grand Canyon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Ketchersid</dc:creator>
  <cp:lastModifiedBy>Richard Ketchersid</cp:lastModifiedBy>
  <dcterms:created xsi:type="dcterms:W3CDTF">2023-11-30T00:35:32Z</dcterms:created>
  <dcterms:modified xsi:type="dcterms:W3CDTF">2025-12-12T00:18:18Z</dcterms:modified>
</cp:coreProperties>
</file>