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1.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gcumail-my.sharepoint.com/personal/richard_ketchersid_gcu_edu/Documents/Course Materials/git/Teaching/144F20/Topic 5/"/>
    </mc:Choice>
  </mc:AlternateContent>
  <xr:revisionPtr revIDLastSave="590" documentId="13_ncr:1_{3CBBB4A1-34B7-4D45-A485-52FE9F5BFF1D}" xr6:coauthVersionLast="47" xr6:coauthVersionMax="47" xr10:uidLastSave="{69B13D88-97CE-4252-BE0B-6FE9E52CE96A}"/>
  <bookViews>
    <workbookView xWindow="-120" yWindow="-120" windowWidth="29040" windowHeight="15720" xr2:uid="{6B9F88BC-F133-4FE5-9223-57343937B704}"/>
  </bookViews>
  <sheets>
    <sheet name="Bar Charts" sheetId="1" r:id="rId1"/>
    <sheet name="Height Data" sheetId="5" r:id="rId2"/>
    <sheet name="Almost Histogram" sheetId="2" r:id="rId3"/>
    <sheet name="Histogram (Equal Bin Width)" sheetId="4" r:id="rId4"/>
    <sheet name="Histogram (Unequal Bin Widths)"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3" l="1"/>
  <c r="B1" i="5" s="1"/>
  <c r="B4" i="2" l="1"/>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3" i="2"/>
  <c r="C8" i="1"/>
  <c r="L7" i="1" s="1"/>
  <c r="C9" i="1"/>
  <c r="L8" i="1" s="1"/>
  <c r="C10" i="1"/>
  <c r="L9" i="1" s="1"/>
  <c r="C7" i="1"/>
  <c r="L10" i="1" s="1"/>
  <c r="B115" i="3" l="1"/>
  <c r="B114" i="5" s="1"/>
  <c r="B115" i="4"/>
  <c r="B111" i="3"/>
  <c r="B110" i="5" s="1"/>
  <c r="B111" i="4"/>
  <c r="B95" i="3"/>
  <c r="B94" i="5" s="1"/>
  <c r="B95" i="4"/>
  <c r="B79" i="3"/>
  <c r="B78" i="5" s="1"/>
  <c r="B79" i="4"/>
  <c r="B63" i="3"/>
  <c r="B62" i="5" s="1"/>
  <c r="B63" i="4"/>
  <c r="B47" i="3"/>
  <c r="B46" i="5" s="1"/>
  <c r="B47" i="4"/>
  <c r="B31" i="3"/>
  <c r="B30" i="5" s="1"/>
  <c r="B31" i="4"/>
  <c r="B15" i="3"/>
  <c r="B14" i="5" s="1"/>
  <c r="B15" i="4"/>
  <c r="B110" i="3"/>
  <c r="B109" i="5" s="1"/>
  <c r="B110" i="4"/>
  <c r="B94" i="3"/>
  <c r="B93" i="5" s="1"/>
  <c r="B94" i="4"/>
  <c r="B78" i="3"/>
  <c r="B77" i="5" s="1"/>
  <c r="B78" i="4"/>
  <c r="B62" i="3"/>
  <c r="B61" i="5" s="1"/>
  <c r="B62" i="4"/>
  <c r="B46" i="3"/>
  <c r="B45" i="5" s="1"/>
  <c r="B46" i="4"/>
  <c r="B30" i="3"/>
  <c r="B29" i="5" s="1"/>
  <c r="B30" i="4"/>
  <c r="B14" i="3"/>
  <c r="B13" i="5" s="1"/>
  <c r="B14" i="4"/>
  <c r="B19" i="3"/>
  <c r="B18" i="5" s="1"/>
  <c r="B19" i="4"/>
  <c r="B49" i="3"/>
  <c r="B48" i="5" s="1"/>
  <c r="B49" i="4"/>
  <c r="B109" i="3"/>
  <c r="B108" i="5" s="1"/>
  <c r="B109" i="4"/>
  <c r="B77" i="3"/>
  <c r="B76" i="5" s="1"/>
  <c r="B77" i="4"/>
  <c r="B61" i="3"/>
  <c r="B60" i="5" s="1"/>
  <c r="B61" i="4"/>
  <c r="B45" i="3"/>
  <c r="B44" i="5" s="1"/>
  <c r="B45" i="4"/>
  <c r="B29" i="3"/>
  <c r="B28" i="5" s="1"/>
  <c r="B29" i="4"/>
  <c r="B13" i="3"/>
  <c r="B12" i="5" s="1"/>
  <c r="B13" i="4"/>
  <c r="B124" i="3"/>
  <c r="B123" i="5" s="1"/>
  <c r="B124" i="4"/>
  <c r="B92" i="3"/>
  <c r="B91" i="5" s="1"/>
  <c r="B92" i="4"/>
  <c r="B44" i="3"/>
  <c r="B43" i="5" s="1"/>
  <c r="B44" i="4"/>
  <c r="B28" i="3"/>
  <c r="B27" i="5" s="1"/>
  <c r="B28" i="4"/>
  <c r="B12" i="3"/>
  <c r="B11" i="5" s="1"/>
  <c r="B12" i="4"/>
  <c r="B99" i="3"/>
  <c r="B98" i="5" s="1"/>
  <c r="B99" i="4"/>
  <c r="B98" i="3"/>
  <c r="B97" i="5" s="1"/>
  <c r="B98" i="4"/>
  <c r="B18" i="3"/>
  <c r="B17" i="5" s="1"/>
  <c r="B18" i="4"/>
  <c r="B65" i="3"/>
  <c r="B64" i="5" s="1"/>
  <c r="B65" i="4"/>
  <c r="B48" i="3"/>
  <c r="B47" i="5" s="1"/>
  <c r="B48" i="4"/>
  <c r="B93" i="3"/>
  <c r="B92" i="5" s="1"/>
  <c r="B93" i="4"/>
  <c r="B108" i="3"/>
  <c r="B107" i="5" s="1"/>
  <c r="B108" i="4"/>
  <c r="B76" i="3"/>
  <c r="B75" i="5" s="1"/>
  <c r="B76" i="4"/>
  <c r="B60" i="3"/>
  <c r="B59" i="5" s="1"/>
  <c r="B60" i="4"/>
  <c r="B123" i="3"/>
  <c r="B122" i="5" s="1"/>
  <c r="B123" i="4"/>
  <c r="B107" i="3"/>
  <c r="B106" i="5" s="1"/>
  <c r="B107" i="4"/>
  <c r="B91" i="3"/>
  <c r="B90" i="5" s="1"/>
  <c r="B91" i="4"/>
  <c r="B75" i="3"/>
  <c r="B74" i="5" s="1"/>
  <c r="B75" i="4"/>
  <c r="B59" i="3"/>
  <c r="B58" i="5" s="1"/>
  <c r="B59" i="4"/>
  <c r="B43" i="3"/>
  <c r="B42" i="5" s="1"/>
  <c r="B43" i="4"/>
  <c r="B27" i="3"/>
  <c r="B26" i="5" s="1"/>
  <c r="B27" i="4"/>
  <c r="B11" i="3"/>
  <c r="B10" i="5" s="1"/>
  <c r="B11" i="4"/>
  <c r="B34" i="3"/>
  <c r="B33" i="5" s="1"/>
  <c r="B34" i="4"/>
  <c r="B32" i="3"/>
  <c r="B31" i="5" s="1"/>
  <c r="B32" i="4"/>
  <c r="B74" i="3"/>
  <c r="B73" i="5" s="1"/>
  <c r="B74" i="4"/>
  <c r="B26" i="3"/>
  <c r="B25" i="5" s="1"/>
  <c r="B26" i="4"/>
  <c r="B10" i="3"/>
  <c r="B9" i="5" s="1"/>
  <c r="B10" i="4"/>
  <c r="B83" i="3"/>
  <c r="B82" i="5" s="1"/>
  <c r="B83" i="4"/>
  <c r="B82" i="3"/>
  <c r="B81" i="5" s="1"/>
  <c r="B82" i="4"/>
  <c r="B97" i="3"/>
  <c r="B96" i="5" s="1"/>
  <c r="B97" i="4"/>
  <c r="B80" i="3"/>
  <c r="B79" i="5" s="1"/>
  <c r="B80" i="4"/>
  <c r="B106" i="3"/>
  <c r="B105" i="5" s="1"/>
  <c r="B106" i="4"/>
  <c r="B58" i="3"/>
  <c r="B57" i="5" s="1"/>
  <c r="B58" i="4"/>
  <c r="B121" i="3"/>
  <c r="B120" i="5" s="1"/>
  <c r="B121" i="4"/>
  <c r="B89" i="3"/>
  <c r="B88" i="5" s="1"/>
  <c r="B89" i="4"/>
  <c r="B73" i="3"/>
  <c r="B72" i="5" s="1"/>
  <c r="B73" i="4"/>
  <c r="B57" i="3"/>
  <c r="B56" i="5" s="1"/>
  <c r="B57" i="4"/>
  <c r="B41" i="3"/>
  <c r="B40" i="5" s="1"/>
  <c r="B41" i="4"/>
  <c r="B25" i="3"/>
  <c r="B24" i="5" s="1"/>
  <c r="B25" i="4"/>
  <c r="B9" i="3"/>
  <c r="B8" i="5" s="1"/>
  <c r="B9" i="4"/>
  <c r="B67" i="3"/>
  <c r="B66" i="5" s="1"/>
  <c r="B67" i="4"/>
  <c r="B66" i="3"/>
  <c r="B65" i="5" s="1"/>
  <c r="B66" i="4"/>
  <c r="B33" i="3"/>
  <c r="B32" i="5" s="1"/>
  <c r="B33" i="4"/>
  <c r="B96" i="3"/>
  <c r="B95" i="5" s="1"/>
  <c r="B96" i="4"/>
  <c r="B16" i="3"/>
  <c r="B15" i="5" s="1"/>
  <c r="B16" i="4"/>
  <c r="B122" i="3"/>
  <c r="B121" i="5" s="1"/>
  <c r="B122" i="4"/>
  <c r="B90" i="3"/>
  <c r="B89" i="5" s="1"/>
  <c r="B90" i="4"/>
  <c r="B42" i="3"/>
  <c r="B41" i="5" s="1"/>
  <c r="B42" i="4"/>
  <c r="B105" i="3"/>
  <c r="B104" i="5" s="1"/>
  <c r="B105" i="4"/>
  <c r="B120" i="3"/>
  <c r="B119" i="5" s="1"/>
  <c r="B120" i="4"/>
  <c r="B104" i="3"/>
  <c r="B103" i="5" s="1"/>
  <c r="B104" i="4"/>
  <c r="B88" i="3"/>
  <c r="B87" i="5" s="1"/>
  <c r="B88" i="4"/>
  <c r="B72" i="3"/>
  <c r="B71" i="5" s="1"/>
  <c r="B72" i="4"/>
  <c r="B56" i="3"/>
  <c r="B55" i="5" s="1"/>
  <c r="B56" i="4"/>
  <c r="B40" i="3"/>
  <c r="B39" i="5" s="1"/>
  <c r="B40" i="4"/>
  <c r="B24" i="3"/>
  <c r="B23" i="5" s="1"/>
  <c r="B24" i="4"/>
  <c r="B8" i="3"/>
  <c r="B7" i="5" s="1"/>
  <c r="B8" i="4"/>
  <c r="B35" i="3"/>
  <c r="B34" i="5" s="1"/>
  <c r="B35" i="4"/>
  <c r="B81" i="3"/>
  <c r="B80" i="5" s="1"/>
  <c r="B81" i="4"/>
  <c r="B103" i="3"/>
  <c r="B102" i="5" s="1"/>
  <c r="B103" i="4"/>
  <c r="B87" i="3"/>
  <c r="B86" i="5" s="1"/>
  <c r="B87" i="4"/>
  <c r="B71" i="3"/>
  <c r="B70" i="5" s="1"/>
  <c r="B71" i="4"/>
  <c r="B55" i="3"/>
  <c r="B54" i="5" s="1"/>
  <c r="B55" i="4"/>
  <c r="B39" i="3"/>
  <c r="B38" i="5" s="1"/>
  <c r="B39" i="4"/>
  <c r="B23" i="3"/>
  <c r="B22" i="5" s="1"/>
  <c r="B23" i="4"/>
  <c r="B7" i="3"/>
  <c r="B6" i="5" s="1"/>
  <c r="B7" i="4"/>
  <c r="B114" i="3"/>
  <c r="B113" i="5" s="1"/>
  <c r="B114" i="4"/>
  <c r="B113" i="3"/>
  <c r="B112" i="5" s="1"/>
  <c r="B113" i="4"/>
  <c r="B119" i="3"/>
  <c r="B118" i="5" s="1"/>
  <c r="B119" i="4"/>
  <c r="B102" i="3"/>
  <c r="B101" i="5" s="1"/>
  <c r="B102" i="4"/>
  <c r="B86" i="3"/>
  <c r="B85" i="5" s="1"/>
  <c r="B86" i="4"/>
  <c r="B70" i="3"/>
  <c r="B69" i="5" s="1"/>
  <c r="B70" i="4"/>
  <c r="B54" i="3"/>
  <c r="B53" i="5" s="1"/>
  <c r="B54" i="4"/>
  <c r="B38" i="3"/>
  <c r="B37" i="5" s="1"/>
  <c r="B38" i="4"/>
  <c r="B22" i="3"/>
  <c r="B21" i="5" s="1"/>
  <c r="B22" i="4"/>
  <c r="B6" i="3"/>
  <c r="B5" i="5" s="1"/>
  <c r="B6" i="4"/>
  <c r="B64" i="3"/>
  <c r="B63" i="5" s="1"/>
  <c r="B64" i="4"/>
  <c r="B85" i="3"/>
  <c r="B84" i="5" s="1"/>
  <c r="B85" i="4"/>
  <c r="B37" i="3"/>
  <c r="B36" i="5" s="1"/>
  <c r="B37" i="4"/>
  <c r="B21" i="3"/>
  <c r="B20" i="5" s="1"/>
  <c r="B21" i="4"/>
  <c r="B5" i="3"/>
  <c r="B4" i="5" s="1"/>
  <c r="B5" i="4"/>
  <c r="B51" i="3"/>
  <c r="B50" i="5" s="1"/>
  <c r="B51" i="4"/>
  <c r="B50" i="3"/>
  <c r="B49" i="5" s="1"/>
  <c r="B50" i="4"/>
  <c r="B17" i="3"/>
  <c r="B16" i="5" s="1"/>
  <c r="B17" i="4"/>
  <c r="B112" i="3"/>
  <c r="B111" i="5" s="1"/>
  <c r="B112" i="4"/>
  <c r="B118" i="3"/>
  <c r="B117" i="5" s="1"/>
  <c r="B118" i="4"/>
  <c r="B117" i="3"/>
  <c r="B116" i="5" s="1"/>
  <c r="B117" i="4"/>
  <c r="B101" i="3"/>
  <c r="B100" i="5" s="1"/>
  <c r="B101" i="4"/>
  <c r="B69" i="3"/>
  <c r="B68" i="5" s="1"/>
  <c r="B69" i="4"/>
  <c r="B53" i="3"/>
  <c r="B52" i="5" s="1"/>
  <c r="B53" i="4"/>
  <c r="B116" i="3"/>
  <c r="B115" i="5" s="1"/>
  <c r="B116" i="4"/>
  <c r="B100" i="3"/>
  <c r="B99" i="5" s="1"/>
  <c r="B100" i="4"/>
  <c r="B84" i="3"/>
  <c r="B83" i="5" s="1"/>
  <c r="B84" i="4"/>
  <c r="B68" i="3"/>
  <c r="B67" i="5" s="1"/>
  <c r="B68" i="4"/>
  <c r="B52" i="3"/>
  <c r="B51" i="5" s="1"/>
  <c r="B52" i="4"/>
  <c r="B36" i="3"/>
  <c r="B35" i="5" s="1"/>
  <c r="B36" i="4"/>
  <c r="B20" i="3"/>
  <c r="B19" i="5" s="1"/>
  <c r="B20" i="4"/>
  <c r="B4" i="3"/>
  <c r="B3" i="5" s="1"/>
  <c r="B4" i="4"/>
  <c r="B3" i="3"/>
  <c r="B2" i="5" s="1"/>
  <c r="B3" i="4"/>
  <c r="D4" i="2"/>
  <c r="D5" i="2"/>
  <c r="I18" i="5" l="1"/>
  <c r="D6" i="2"/>
  <c r="E9" i="3"/>
  <c r="E10" i="3" s="1"/>
  <c r="D4" i="4" l="1" a="1"/>
  <c r="D4" i="4" s="1"/>
  <c r="I20" i="5"/>
  <c r="I19" i="5"/>
  <c r="I21" i="5" s="1"/>
  <c r="E4" i="2"/>
  <c r="F23" i="5" l="1"/>
  <c r="H4" i="2"/>
  <c r="E5" i="2"/>
  <c r="E6" i="2" l="1"/>
  <c r="H6" i="2" s="1"/>
  <c r="H5" i="2"/>
  <c r="E7" i="2" l="1"/>
  <c r="H7" i="2" s="1"/>
  <c r="E8" i="2" l="1"/>
  <c r="E9" i="2" l="1"/>
  <c r="H8" i="2"/>
  <c r="E10" i="2" l="1"/>
  <c r="H9" i="2"/>
  <c r="E11" i="2" l="1"/>
  <c r="H10" i="2"/>
  <c r="E12" i="2" l="1"/>
  <c r="F4" i="2" s="1" a="1"/>
  <c r="P6" i="2" s="1"/>
  <c r="H11" i="2"/>
  <c r="F4" i="2" l="1"/>
  <c r="F14" i="2" s="1"/>
  <c r="E13" i="2"/>
  <c r="E4" i="4" s="1" a="1"/>
  <c r="H7" i="4" s="1"/>
  <c r="H12" i="2"/>
  <c r="G4" i="2" l="1" a="1"/>
  <c r="P18" i="2" s="1"/>
  <c r="H13" i="2"/>
  <c r="I4" i="4" s="1" a="1"/>
  <c r="I4" i="4" s="1"/>
  <c r="E4" i="4"/>
  <c r="H4" i="4" s="1"/>
  <c r="D4" i="3"/>
  <c r="D5" i="3"/>
  <c r="G4" i="2" l="1"/>
  <c r="G14" i="2" s="1"/>
  <c r="E12" i="3"/>
  <c r="E11" i="3" s="1"/>
  <c r="E15" i="3"/>
  <c r="E13" i="3"/>
  <c r="F4" i="3"/>
  <c r="E14" i="3"/>
  <c r="H9" i="4"/>
  <c r="F5" i="3"/>
  <c r="E20" i="3"/>
  <c r="E17" i="3"/>
  <c r="E19" i="3"/>
  <c r="E18" i="3"/>
  <c r="E16" i="3" l="1"/>
  <c r="D6" i="3"/>
  <c r="H11" i="4" l="1"/>
  <c r="E4" i="3" a="1"/>
  <c r="E24" i="3"/>
  <c r="E25" i="3"/>
  <c r="E22" i="3"/>
  <c r="E21" i="3" s="1"/>
  <c r="F6" i="3"/>
  <c r="E23" i="3"/>
  <c r="F4" i="4" l="1" a="1"/>
  <c r="H14" i="4"/>
  <c r="D7" i="3"/>
  <c r="E6" i="3"/>
  <c r="G6" i="3" s="1"/>
  <c r="E7" i="3"/>
  <c r="E5" i="3"/>
  <c r="G5" i="3" s="1"/>
  <c r="E4" i="3"/>
  <c r="G4" i="3" s="1"/>
  <c r="F4" i="4" l="1"/>
  <c r="P4" i="4"/>
  <c r="G11" i="4"/>
  <c r="G6" i="4"/>
  <c r="G10" i="4"/>
  <c r="G9" i="4"/>
  <c r="P27" i="4" s="1"/>
  <c r="G5" i="4"/>
  <c r="G12" i="4"/>
  <c r="G13" i="4"/>
  <c r="G8" i="4"/>
  <c r="G7" i="4"/>
  <c r="F15" i="3"/>
  <c r="F16" i="3" s="1"/>
  <c r="F17" i="3"/>
  <c r="E27" i="3"/>
  <c r="E26" i="3" s="1"/>
  <c r="E28" i="3"/>
  <c r="F7" i="3"/>
  <c r="G7" i="3" s="1"/>
  <c r="H23" i="3"/>
  <c r="F12" i="3"/>
  <c r="F10" i="3"/>
  <c r="F11" i="3" s="1"/>
  <c r="F22" i="3"/>
  <c r="F20" i="3"/>
  <c r="F21" i="3" s="1"/>
  <c r="F25" i="3" l="1"/>
  <c r="F26" i="3" s="1"/>
  <c r="F27" i="3"/>
  <c r="P18" i="3" a="1"/>
  <c r="P18" i="3" s="1"/>
  <c r="F15" i="4"/>
  <c r="G4" i="4"/>
  <c r="G15"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<sst xmlns="http://schemas.openxmlformats.org/spreadsheetml/2006/main" count="63" uniqueCount="37">
  <si>
    <t xml:space="preserve">Red </t>
  </si>
  <si>
    <t>Blue</t>
  </si>
  <si>
    <t>Green</t>
  </si>
  <si>
    <t>Yellow</t>
  </si>
  <si>
    <t>Marbles</t>
  </si>
  <si>
    <t>Red</t>
  </si>
  <si>
    <t>Heights</t>
  </si>
  <si>
    <t>Max =</t>
  </si>
  <si>
    <t>Min =</t>
  </si>
  <si>
    <t>Bin width =</t>
  </si>
  <si>
    <t>Bin Upper Boundary</t>
  </si>
  <si>
    <t>Frequency</t>
  </si>
  <si>
    <t>Relative Frequency</t>
  </si>
  <si>
    <t>Totals</t>
  </si>
  <si>
    <t>A histogram represents the frequency distribution or relative frequency distribution of a single numeric variable. In the case that the variable is continuous, there should be no gaps between the bars. The frequency or relative frequency is represented by the area of the bar relative to the graph, not the height of the bar. Notice that you cannot reorder the labels on the x-axis in a histogram.</t>
  </si>
  <si>
    <t>Bin upper boundary</t>
  </si>
  <si>
    <t>Width</t>
  </si>
  <si>
    <t>Frequency Density</t>
  </si>
  <si>
    <t>start</t>
  </si>
  <si>
    <t>end</t>
  </si>
  <si>
    <t>Relative Frequency
Density</t>
  </si>
  <si>
    <t>Note that here the data is numeric and this is what the x-axis represents, you cannot rerange the labels on a histogram.</t>
  </si>
  <si>
    <t>The actual data points are shown. Can you see how the height of the bar corresponds to the density of the data? (Zoom in.)</t>
  </si>
  <si>
    <t xml:space="preserve"> </t>
  </si>
  <si>
    <t xml:space="preserve">  </t>
  </si>
  <si>
    <t>A bar chart can represent the frequency of a single categorical variable. Notice that the order of the categories is not important, it is only the height of the bars that matters.</t>
  </si>
  <si>
    <t>Labels</t>
  </si>
  <si>
    <t>Y</t>
  </si>
  <si>
    <r>
      <t xml:space="preserve">Here the height data is simply ploted along the x-axis. You can see how it bunches up, i.e., becomes denser toward th center and less dense towards the ends. It is this "density" that a histogram is meant to visualize. The units  for </t>
    </r>
    <r>
      <rPr>
        <b/>
        <sz val="11"/>
        <color theme="1"/>
        <rFont val="Comic Sans MS"/>
        <family val="4"/>
      </rPr>
      <t>density</t>
    </r>
    <r>
      <rPr>
        <sz val="11"/>
        <color theme="1"/>
        <rFont val="Comic Sans MS"/>
        <family val="4"/>
      </rPr>
      <t xml:space="preserve"> would be "some number of people per inch (in height)" or </t>
    </r>
    <r>
      <rPr>
        <b/>
        <sz val="11"/>
        <color theme="1"/>
        <rFont val="Comic Sans MS"/>
        <family val="4"/>
      </rPr>
      <t>relative density</t>
    </r>
    <r>
      <rPr>
        <sz val="11"/>
        <color theme="1"/>
        <rFont val="Comic Sans MS"/>
        <family val="4"/>
      </rPr>
      <t xml:space="preserve"> would be "some percentage of the data (the population) per inch."</t>
    </r>
  </si>
  <si>
    <t xml:space="preserve">Heights between 66" and 68" : </t>
  </si>
  <si>
    <t xml:space="preserve">Percent of heights between 66" and 68" : </t>
  </si>
  <si>
    <t xml:space="preserve">Frequency per inch : </t>
  </si>
  <si>
    <t xml:space="preserve">Relative Frequency per inch : </t>
  </si>
  <si>
    <t>Frequency 
Density</t>
  </si>
  <si>
    <r>
      <t>The area of this bar is the frequency/relative frequency. In the cases where each bin has the same width, there is no real difference in the "</t>
    </r>
    <r>
      <rPr>
        <b/>
        <sz val="11"/>
        <color theme="1"/>
        <rFont val="Comic Sans MS"/>
        <family val="4"/>
      </rPr>
      <t>shape</t>
    </r>
    <r>
      <rPr>
        <sz val="11"/>
        <color theme="1"/>
        <rFont val="Comic Sans MS"/>
        <family val="4"/>
      </rPr>
      <t>" of the histogram between using height or area to represent frequency.</t>
    </r>
  </si>
  <si>
    <t>Video For this.</t>
  </si>
  <si>
    <t>(Same video)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</si>
</sst>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2" x14ac:knownFonts="1">
    <font>
      <sz val="11"/>
      <color theme="1"/>
      <name val="Calibri"/>
      <family val="2"/>
      <scheme val="minor"/>
    </font>
    <font>
      <b/>
      <sz val="11"/>
      <color theme="1"/>
      <name val="Calibri"/>
      <family val="2"/>
      <scheme val="minor"/>
    </font>
    <font>
      <sz val="11"/>
      <color theme="1"/>
      <name val="Comic Sans MS"/>
      <family val="4"/>
    </font>
    <font>
      <sz val="12"/>
      <color theme="1"/>
      <name val="Comic Sans MS"/>
      <family val="4"/>
    </font>
    <font>
      <sz val="11"/>
      <color theme="1"/>
      <name val="Calibri"/>
      <family val="2"/>
      <scheme val="minor"/>
    </font>
    <font>
      <sz val="11"/>
      <color theme="0"/>
      <name val="Calibri"/>
      <family val="2"/>
      <scheme val="minor"/>
    </font>
    <font>
      <b/>
      <sz val="11"/>
      <color theme="0"/>
      <name val="Calibri"/>
      <family val="2"/>
      <scheme val="minor"/>
    </font>
    <font>
      <b/>
      <sz val="11"/>
      <color theme="1"/>
      <name val="Comic Sans MS"/>
      <family val="4"/>
    </font>
    <font>
      <u/>
      <sz val="11"/>
      <color theme="10"/>
      <name val="Calibri"/>
      <family val="2"/>
      <scheme val="minor"/>
    </font>
    <font>
      <b/>
      <sz val="14"/>
      <color theme="10"/>
      <name val="Calibri"/>
      <family val="2"/>
      <scheme val="minor"/>
    </font>
    <font>
      <b/>
      <sz val="11"/>
      <color theme="10"/>
      <name val="Calibri"/>
      <family val="2"/>
      <scheme val="minor"/>
    </font>
    <font>
      <b/>
      <sz val="12"/>
      <color theme="10"/>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C000"/>
        <bgColor indexed="64"/>
      </patternFill>
    </fill>
  </fills>
  <borders count="2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2"/>
      </left>
      <right style="thin">
        <color theme="2"/>
      </right>
      <top style="thin">
        <color theme="2"/>
      </top>
      <bottom style="thin">
        <color theme="2"/>
      </bottom>
      <diagonal/>
    </border>
    <border>
      <left style="medium">
        <color indexed="64"/>
      </left>
      <right style="thin">
        <color theme="2"/>
      </right>
      <top style="medium">
        <color indexed="64"/>
      </top>
      <bottom style="thin">
        <color theme="2"/>
      </bottom>
      <diagonal/>
    </border>
    <border>
      <left style="thin">
        <color theme="2"/>
      </left>
      <right style="thin">
        <color theme="2"/>
      </right>
      <top style="medium">
        <color indexed="64"/>
      </top>
      <bottom style="thin">
        <color theme="2"/>
      </bottom>
      <diagonal/>
    </border>
    <border>
      <left style="thin">
        <color theme="2"/>
      </left>
      <right style="medium">
        <color indexed="64"/>
      </right>
      <top style="medium">
        <color indexed="64"/>
      </top>
      <bottom style="thin">
        <color theme="2"/>
      </bottom>
      <diagonal/>
    </border>
    <border>
      <left style="medium">
        <color indexed="64"/>
      </left>
      <right style="thin">
        <color theme="2"/>
      </right>
      <top style="thin">
        <color theme="2"/>
      </top>
      <bottom style="thin">
        <color theme="2"/>
      </bottom>
      <diagonal/>
    </border>
    <border>
      <left style="thin">
        <color theme="2"/>
      </left>
      <right style="medium">
        <color indexed="64"/>
      </right>
      <top style="thin">
        <color theme="2"/>
      </top>
      <bottom style="thin">
        <color theme="2"/>
      </bottom>
      <diagonal/>
    </border>
    <border>
      <left style="medium">
        <color indexed="64"/>
      </left>
      <right style="thin">
        <color theme="2"/>
      </right>
      <top style="thin">
        <color theme="2"/>
      </top>
      <bottom style="medium">
        <color indexed="64"/>
      </bottom>
      <diagonal/>
    </border>
    <border>
      <left style="thin">
        <color theme="2"/>
      </left>
      <right style="thin">
        <color theme="2"/>
      </right>
      <top style="thin">
        <color theme="2"/>
      </top>
      <bottom style="medium">
        <color indexed="64"/>
      </bottom>
      <diagonal/>
    </border>
    <border>
      <left style="thin">
        <color theme="2"/>
      </left>
      <right style="medium">
        <color indexed="64"/>
      </right>
      <top style="thin">
        <color theme="2"/>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9" fontId="4" fillId="0" borderId="0" applyFont="0" applyFill="0" applyBorder="0" applyAlignment="0" applyProtection="0"/>
    <xf numFmtId="0" fontId="8" fillId="0" borderId="0" applyNumberFormat="0" applyFill="0" applyBorder="0" applyAlignment="0" applyProtection="0"/>
  </cellStyleXfs>
  <cellXfs count="85">
    <xf numFmtId="0" fontId="0" fillId="0" borderId="0" xfId="0"/>
    <xf numFmtId="0" fontId="0" fillId="0" borderId="0" xfId="0" applyAlignment="1">
      <alignment wrapText="1"/>
    </xf>
    <xf numFmtId="0" fontId="1" fillId="0" borderId="0" xfId="0" applyFont="1"/>
    <xf numFmtId="0" fontId="0" fillId="0" borderId="0" xfId="0" applyAlignment="1">
      <alignment horizontal="right"/>
    </xf>
    <xf numFmtId="0" fontId="0" fillId="0" borderId="0" xfId="0" applyAlignment="1">
      <alignment horizontal="center"/>
    </xf>
    <xf numFmtId="0" fontId="0" fillId="0" borderId="0" xfId="0" applyAlignment="1">
      <alignment horizontal="center" vertical="center"/>
    </xf>
    <xf numFmtId="0" fontId="0" fillId="2" borderId="9" xfId="0" applyFill="1" applyBorder="1"/>
    <xf numFmtId="0" fontId="0" fillId="3" borderId="9" xfId="0" applyFill="1" applyBorder="1"/>
    <xf numFmtId="0" fontId="0" fillId="4" borderId="9" xfId="0" applyFill="1" applyBorder="1"/>
    <xf numFmtId="0" fontId="0" fillId="5" borderId="9" xfId="0" applyFill="1" applyBorder="1"/>
    <xf numFmtId="0" fontId="1" fillId="0" borderId="0" xfId="0" applyFont="1" applyAlignment="1">
      <alignment horizontal="center"/>
    </xf>
    <xf numFmtId="0" fontId="0" fillId="0" borderId="0" xfId="0" applyAlignment="1">
      <alignment horizontal="left"/>
    </xf>
    <xf numFmtId="10" fontId="0" fillId="0" borderId="0" xfId="1" applyNumberFormat="1" applyFont="1" applyAlignment="1">
      <alignment horizontal="center"/>
    </xf>
    <xf numFmtId="165" fontId="0" fillId="0" borderId="0" xfId="0" applyNumberFormat="1" applyAlignment="1">
      <alignment horizontal="center"/>
    </xf>
    <xf numFmtId="2" fontId="0" fillId="0" borderId="0" xfId="0" applyNumberFormat="1" applyAlignment="1">
      <alignment horizontal="center"/>
    </xf>
    <xf numFmtId="164" fontId="0" fillId="0" borderId="0" xfId="1" applyNumberFormat="1" applyFont="1" applyAlignment="1">
      <alignment horizontal="center"/>
    </xf>
    <xf numFmtId="0" fontId="0" fillId="2" borderId="10" xfId="0" applyFill="1" applyBorder="1" applyAlignment="1">
      <alignment horizontal="right"/>
    </xf>
    <xf numFmtId="0" fontId="0" fillId="2" borderId="11" xfId="0" applyFill="1" applyBorder="1"/>
    <xf numFmtId="2" fontId="0" fillId="2" borderId="12" xfId="0" applyNumberFormat="1" applyFill="1" applyBorder="1"/>
    <xf numFmtId="0" fontId="0" fillId="2" borderId="13" xfId="0" applyFill="1" applyBorder="1"/>
    <xf numFmtId="2" fontId="0" fillId="2" borderId="14" xfId="0" applyNumberFormat="1" applyFill="1" applyBorder="1"/>
    <xf numFmtId="0" fontId="0" fillId="2" borderId="13" xfId="0" applyFill="1" applyBorder="1" applyAlignment="1">
      <alignment horizontal="right"/>
    </xf>
    <xf numFmtId="0" fontId="0" fillId="3" borderId="13" xfId="0" applyFill="1" applyBorder="1" applyAlignment="1">
      <alignment horizontal="right"/>
    </xf>
    <xf numFmtId="2" fontId="0" fillId="3" borderId="14" xfId="0" applyNumberFormat="1" applyFill="1" applyBorder="1"/>
    <xf numFmtId="0" fontId="0" fillId="4" borderId="13" xfId="0" applyFill="1" applyBorder="1" applyAlignment="1">
      <alignment horizontal="right"/>
    </xf>
    <xf numFmtId="2" fontId="0" fillId="4" borderId="14" xfId="0" applyNumberFormat="1" applyFill="1" applyBorder="1"/>
    <xf numFmtId="0" fontId="0" fillId="5" borderId="13" xfId="0" applyFill="1" applyBorder="1" applyAlignment="1">
      <alignment horizontal="right"/>
    </xf>
    <xf numFmtId="2" fontId="0" fillId="5" borderId="14" xfId="0" applyNumberFormat="1" applyFill="1" applyBorder="1"/>
    <xf numFmtId="0" fontId="0" fillId="5" borderId="15" xfId="0" applyFill="1" applyBorder="1" applyAlignment="1">
      <alignment horizontal="right"/>
    </xf>
    <xf numFmtId="0" fontId="0" fillId="5" borderId="16" xfId="0" applyFill="1" applyBorder="1"/>
    <xf numFmtId="2" fontId="0" fillId="5" borderId="17" xfId="0" applyNumberFormat="1" applyFill="1" applyBorder="1"/>
    <xf numFmtId="0" fontId="5" fillId="0" borderId="0" xfId="0" applyFont="1" applyFill="1"/>
    <xf numFmtId="9" fontId="1" fillId="0" borderId="0" xfId="1" applyFont="1" applyAlignment="1">
      <alignment horizontal="center"/>
    </xf>
    <xf numFmtId="165" fontId="0" fillId="0" borderId="0" xfId="0" applyNumberFormat="1"/>
    <xf numFmtId="0" fontId="5" fillId="0" borderId="0" xfId="0" applyFont="1" applyAlignment="1">
      <alignment horizontal="center"/>
    </xf>
    <xf numFmtId="0" fontId="0" fillId="0" borderId="0" xfId="0" applyAlignment="1">
      <alignment horizontal="center"/>
    </xf>
    <xf numFmtId="0" fontId="1" fillId="0" borderId="0" xfId="0" applyFont="1" applyAlignment="1">
      <alignment horizontal="center"/>
    </xf>
    <xf numFmtId="0" fontId="0" fillId="0" borderId="0" xfId="0" applyAlignment="1">
      <alignment horizontal="center"/>
    </xf>
    <xf numFmtId="165" fontId="0" fillId="0" borderId="0" xfId="0" applyNumberFormat="1" applyAlignment="1">
      <alignment horizontal="left"/>
    </xf>
    <xf numFmtId="0" fontId="1" fillId="0" borderId="0" xfId="0" applyFont="1" applyAlignment="1">
      <alignment horizontal="center"/>
    </xf>
    <xf numFmtId="0" fontId="0" fillId="0" borderId="20" xfId="0" applyBorder="1"/>
    <xf numFmtId="0" fontId="0" fillId="0" borderId="21" xfId="0" applyBorder="1"/>
    <xf numFmtId="0" fontId="0" fillId="0" borderId="22" xfId="0" applyBorder="1"/>
    <xf numFmtId="0" fontId="0" fillId="0" borderId="23" xfId="0" applyBorder="1"/>
    <xf numFmtId="0" fontId="6" fillId="0" borderId="0" xfId="0" applyFont="1" applyAlignment="1">
      <alignment horizontal="center"/>
    </xf>
    <xf numFmtId="0" fontId="5" fillId="0" borderId="0" xfId="0" applyFont="1"/>
    <xf numFmtId="0" fontId="1" fillId="0" borderId="0" xfId="0" applyFont="1" applyAlignment="1"/>
    <xf numFmtId="0" fontId="0" fillId="6" borderId="0" xfId="0" applyFill="1" applyAlignment="1">
      <alignment horizontal="center"/>
    </xf>
    <xf numFmtId="164" fontId="0" fillId="6" borderId="0" xfId="1" applyNumberFormat="1" applyFont="1" applyFill="1" applyAlignment="1">
      <alignment horizontal="center"/>
    </xf>
    <xf numFmtId="2" fontId="0" fillId="6" borderId="0" xfId="0" applyNumberFormat="1" applyFill="1" applyAlignment="1">
      <alignment horizontal="center"/>
    </xf>
    <xf numFmtId="10" fontId="0" fillId="6" borderId="0" xfId="1" applyNumberFormat="1" applyFont="1" applyFill="1" applyAlignment="1">
      <alignment horizontal="center"/>
    </xf>
    <xf numFmtId="0" fontId="0" fillId="0" borderId="18" xfId="0" applyBorder="1" applyAlignment="1">
      <alignment horizontal="center"/>
    </xf>
    <xf numFmtId="0" fontId="0" fillId="0" borderId="19" xfId="0" applyBorder="1" applyAlignment="1">
      <alignment horizontal="center"/>
    </xf>
    <xf numFmtId="0" fontId="2" fillId="0" borderId="1" xfId="0" applyFont="1" applyBorder="1" applyAlignment="1">
      <alignment horizontal="left" vertical="center" wrapText="1" indent="1"/>
    </xf>
    <xf numFmtId="0" fontId="2" fillId="0" borderId="2" xfId="0" applyFont="1" applyBorder="1" applyAlignment="1">
      <alignment horizontal="left" vertical="center" wrapText="1" indent="1"/>
    </xf>
    <xf numFmtId="0" fontId="2" fillId="0" borderId="3" xfId="0" applyFont="1" applyBorder="1" applyAlignment="1">
      <alignment horizontal="left" vertical="center" wrapText="1" indent="1"/>
    </xf>
    <xf numFmtId="0" fontId="2" fillId="0" borderId="4" xfId="0" applyFont="1" applyBorder="1" applyAlignment="1">
      <alignment horizontal="left" vertical="center" wrapText="1" indent="1"/>
    </xf>
    <xf numFmtId="0" fontId="2" fillId="0" borderId="0" xfId="0" applyFont="1" applyBorder="1" applyAlignment="1">
      <alignment horizontal="left" vertical="center" wrapText="1" indent="1"/>
    </xf>
    <xf numFmtId="0" fontId="2" fillId="0" borderId="5" xfId="0" applyFont="1" applyBorder="1" applyAlignment="1">
      <alignment horizontal="left" vertical="center" wrapText="1" indent="1"/>
    </xf>
    <xf numFmtId="0" fontId="2" fillId="0" borderId="6" xfId="0" applyFont="1" applyBorder="1" applyAlignment="1">
      <alignment horizontal="left" vertical="center" wrapText="1" indent="1"/>
    </xf>
    <xf numFmtId="0" fontId="2" fillId="0" borderId="7" xfId="0" applyFont="1" applyBorder="1" applyAlignment="1">
      <alignment horizontal="left" vertical="center" wrapText="1" indent="1"/>
    </xf>
    <xf numFmtId="0" fontId="2" fillId="0" borderId="8" xfId="0" applyFont="1" applyBorder="1" applyAlignment="1">
      <alignment horizontal="left" vertical="center" wrapText="1" indent="1"/>
    </xf>
    <xf numFmtId="0" fontId="9" fillId="7" borderId="24" xfId="2" applyFont="1" applyFill="1" applyBorder="1" applyAlignment="1">
      <alignment horizontal="center" vertical="center"/>
    </xf>
    <xf numFmtId="0" fontId="9" fillId="7" borderId="25" xfId="2" applyFont="1" applyFill="1" applyBorder="1" applyAlignment="1">
      <alignment horizontal="center" vertical="center"/>
    </xf>
    <xf numFmtId="0" fontId="9" fillId="7" borderId="26" xfId="2" applyFont="1" applyFill="1" applyBorder="1" applyAlignment="1">
      <alignment horizontal="center" vertical="center"/>
    </xf>
    <xf numFmtId="0" fontId="0" fillId="0" borderId="2" xfId="0" applyBorder="1" applyAlignment="1">
      <alignment horizontal="center"/>
    </xf>
    <xf numFmtId="0" fontId="0" fillId="0" borderId="0" xfId="0" applyAlignment="1">
      <alignment horizontal="right"/>
    </xf>
    <xf numFmtId="0" fontId="1" fillId="0" borderId="0" xfId="0" applyFont="1" applyAlignment="1">
      <alignment horizont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0"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10" fillId="7" borderId="24" xfId="2" applyFont="1" applyFill="1" applyBorder="1" applyAlignment="1">
      <alignment horizontal="center" vertical="center"/>
    </xf>
    <xf numFmtId="0" fontId="10" fillId="7" borderId="25" xfId="2" applyFont="1" applyFill="1" applyBorder="1" applyAlignment="1">
      <alignment horizontal="center" vertical="center"/>
    </xf>
    <xf numFmtId="0" fontId="10" fillId="7" borderId="26" xfId="2" applyFont="1" applyFill="1" applyBorder="1" applyAlignment="1">
      <alignment horizontal="center" vertical="center"/>
    </xf>
    <xf numFmtId="0" fontId="11" fillId="7" borderId="24" xfId="2" applyFont="1" applyFill="1" applyBorder="1" applyAlignment="1">
      <alignment horizontal="center" vertical="center"/>
    </xf>
    <xf numFmtId="0" fontId="11" fillId="7" borderId="25" xfId="2" applyFont="1" applyFill="1" applyBorder="1" applyAlignment="1">
      <alignment horizontal="center" vertical="center"/>
    </xf>
    <xf numFmtId="0" fontId="11" fillId="7" borderId="26" xfId="2" applyFont="1" applyFill="1" applyBorder="1" applyAlignment="1">
      <alignment horizontal="center" vertical="center"/>
    </xf>
  </cellXfs>
  <cellStyles count="3">
    <cellStyle name="Hyperlink" xfId="2" builtinId="8"/>
    <cellStyle name="Normal" xfId="0" builtinId="0"/>
    <cellStyle name="Percent" xfId="1" builtinId="5"/>
  </cellStyles>
  <dxfs count="0"/>
  <tableStyles count="0" defaultTableStyle="TableStyleMedium2" defaultPivotStyle="PivotStyleLight16"/>
  <colors>
    <mruColors>
      <color rgb="FF4472C4"/>
      <color rgb="FFB4C7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Frequency of colored Marbles</a:t>
            </a:r>
            <a:endParaRPr lang="en-US" sz="1400">
              <a:effectLst/>
            </a:endParaRPr>
          </a:p>
        </c:rich>
      </c:tx>
      <c:layout>
        <c:manualLayout>
          <c:xMode val="edge"/>
          <c:yMode val="edge"/>
          <c:x val="0.19398051496172583"/>
          <c:y val="3.441494591937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0-7DBA-4C2C-A53F-FEBFDB871DB3}"/>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1-7DBA-4C2C-A53F-FEBFDB871DB3}"/>
              </c:ext>
            </c:extLst>
          </c:dPt>
          <c:dPt>
            <c:idx val="3"/>
            <c:invertIfNegative val="0"/>
            <c:bubble3D val="0"/>
            <c:spPr>
              <a:solidFill>
                <a:srgbClr val="FFFF00"/>
              </a:solidFill>
              <a:ln>
                <a:noFill/>
              </a:ln>
              <a:effectLst/>
            </c:spPr>
            <c:extLst>
              <c:ext xmlns:c16="http://schemas.microsoft.com/office/drawing/2014/chart" uri="{C3380CC4-5D6E-409C-BE32-E72D297353CC}">
                <c16:uniqueId val="{00000002-7DBA-4C2C-A53F-FEBFDB871DB3}"/>
              </c:ext>
            </c:extLst>
          </c:dPt>
          <c:cat>
            <c:strRef>
              <c:f>'Bar Charts'!$B$7:$B$10</c:f>
              <c:strCache>
                <c:ptCount val="4"/>
                <c:pt idx="0">
                  <c:v>Red </c:v>
                </c:pt>
                <c:pt idx="1">
                  <c:v>Blue</c:v>
                </c:pt>
                <c:pt idx="2">
                  <c:v>Green</c:v>
                </c:pt>
                <c:pt idx="3">
                  <c:v>Yellow</c:v>
                </c:pt>
              </c:strCache>
            </c:strRef>
          </c:cat>
          <c:val>
            <c:numRef>
              <c:f>'Bar Charts'!$C$7:$C$10</c:f>
              <c:numCache>
                <c:formatCode>General</c:formatCode>
                <c:ptCount val="4"/>
                <c:pt idx="0">
                  <c:v>28</c:v>
                </c:pt>
                <c:pt idx="1">
                  <c:v>74</c:v>
                </c:pt>
                <c:pt idx="2">
                  <c:v>46</c:v>
                </c:pt>
                <c:pt idx="3">
                  <c:v>58</c:v>
                </c:pt>
              </c:numCache>
            </c:numRef>
          </c:val>
          <c:extLst>
            <c:ext xmlns:c16="http://schemas.microsoft.com/office/drawing/2014/chart" uri="{C3380CC4-5D6E-409C-BE32-E72D297353CC}">
              <c16:uniqueId val="{00000000-21B4-4504-B953-95BA132C9449}"/>
            </c:ext>
          </c:extLst>
        </c:ser>
        <c:dLbls>
          <c:showLegendKey val="0"/>
          <c:showVal val="0"/>
          <c:showCatName val="0"/>
          <c:showSerName val="0"/>
          <c:showPercent val="0"/>
          <c:showBubbleSize val="0"/>
        </c:dLbls>
        <c:gapWidth val="219"/>
        <c:overlap val="-27"/>
        <c:axId val="517161280"/>
        <c:axId val="517166200"/>
      </c:barChart>
      <c:catAx>
        <c:axId val="51716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166200"/>
        <c:crosses val="autoZero"/>
        <c:auto val="1"/>
        <c:lblAlgn val="ctr"/>
        <c:lblOffset val="100"/>
        <c:noMultiLvlLbl val="0"/>
      </c:catAx>
      <c:valAx>
        <c:axId val="517166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16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Frequency</a:t>
            </a:r>
            <a:r>
              <a:rPr lang="en-US" baseline="0"/>
              <a:t> of colored Marbles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1"/>
            <c:invertIfNegative val="0"/>
            <c:bubble3D val="0"/>
            <c:spPr>
              <a:solidFill>
                <a:schemeClr val="accent6"/>
              </a:solidFill>
              <a:ln>
                <a:noFill/>
              </a:ln>
              <a:effectLst/>
            </c:spPr>
            <c:extLst>
              <c:ext xmlns:c16="http://schemas.microsoft.com/office/drawing/2014/chart" uri="{C3380CC4-5D6E-409C-BE32-E72D297353CC}">
                <c16:uniqueId val="{00000000-545F-4876-B398-4A0C7325D23F}"/>
              </c:ext>
            </c:extLst>
          </c:dPt>
          <c:dPt>
            <c:idx val="2"/>
            <c:invertIfNegative val="0"/>
            <c:bubble3D val="0"/>
            <c:spPr>
              <a:solidFill>
                <a:srgbClr val="FFFF00"/>
              </a:solidFill>
              <a:ln>
                <a:noFill/>
              </a:ln>
              <a:effectLst/>
            </c:spPr>
            <c:extLst>
              <c:ext xmlns:c16="http://schemas.microsoft.com/office/drawing/2014/chart" uri="{C3380CC4-5D6E-409C-BE32-E72D297353CC}">
                <c16:uniqueId val="{00000001-545F-4876-B398-4A0C7325D23F}"/>
              </c:ext>
            </c:extLst>
          </c:dPt>
          <c:dPt>
            <c:idx val="3"/>
            <c:invertIfNegative val="0"/>
            <c:bubble3D val="0"/>
            <c:spPr>
              <a:solidFill>
                <a:srgbClr val="FF0000"/>
              </a:solidFill>
              <a:ln>
                <a:noFill/>
              </a:ln>
              <a:effectLst/>
            </c:spPr>
            <c:extLst>
              <c:ext xmlns:c16="http://schemas.microsoft.com/office/drawing/2014/chart" uri="{C3380CC4-5D6E-409C-BE32-E72D297353CC}">
                <c16:uniqueId val="{00000002-545F-4876-B398-4A0C7325D23F}"/>
              </c:ext>
            </c:extLst>
          </c:dPt>
          <c:cat>
            <c:strRef>
              <c:f>'Bar Charts'!$K$7:$K$10</c:f>
              <c:strCache>
                <c:ptCount val="4"/>
                <c:pt idx="0">
                  <c:v>Blue</c:v>
                </c:pt>
                <c:pt idx="1">
                  <c:v>Green</c:v>
                </c:pt>
                <c:pt idx="2">
                  <c:v>Yellow</c:v>
                </c:pt>
                <c:pt idx="3">
                  <c:v>Red</c:v>
                </c:pt>
              </c:strCache>
            </c:strRef>
          </c:cat>
          <c:val>
            <c:numRef>
              <c:f>'Bar Charts'!$L$7:$L$10</c:f>
              <c:numCache>
                <c:formatCode>General</c:formatCode>
                <c:ptCount val="4"/>
                <c:pt idx="0">
                  <c:v>74</c:v>
                </c:pt>
                <c:pt idx="1">
                  <c:v>46</c:v>
                </c:pt>
                <c:pt idx="2">
                  <c:v>58</c:v>
                </c:pt>
                <c:pt idx="3">
                  <c:v>28</c:v>
                </c:pt>
              </c:numCache>
            </c:numRef>
          </c:val>
          <c:extLst>
            <c:ext xmlns:c16="http://schemas.microsoft.com/office/drawing/2014/chart" uri="{C3380CC4-5D6E-409C-BE32-E72D297353CC}">
              <c16:uniqueId val="{00000000-C9A7-4EAB-8685-E6600824DFDE}"/>
            </c:ext>
          </c:extLst>
        </c:ser>
        <c:dLbls>
          <c:showLegendKey val="0"/>
          <c:showVal val="0"/>
          <c:showCatName val="0"/>
          <c:showSerName val="0"/>
          <c:showPercent val="0"/>
          <c:showBubbleSize val="0"/>
        </c:dLbls>
        <c:gapWidth val="219"/>
        <c:overlap val="-27"/>
        <c:axId val="517185224"/>
        <c:axId val="517189488"/>
      </c:barChart>
      <c:catAx>
        <c:axId val="517185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189488"/>
        <c:crosses val="autoZero"/>
        <c:auto val="1"/>
        <c:lblAlgn val="ctr"/>
        <c:lblOffset val="100"/>
        <c:noMultiLvlLbl val="0"/>
      </c:catAx>
      <c:valAx>
        <c:axId val="51718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185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Height</a:t>
            </a:r>
            <a:r>
              <a:rPr lang="en-US" baseline="0"/>
              <a:t> Data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'Height Data'!$C$1</c:f>
              <c:strCache>
                <c:ptCount val="1"/>
                <c:pt idx="0">
                  <c:v>Y</c:v>
                </c:pt>
              </c:strCache>
            </c:strRef>
          </c:tx>
          <c:spPr>
            <a:ln w="19050" cap="rnd">
              <a:noFill/>
              <a:round/>
            </a:ln>
            <a:effectLst/>
          </c:spPr>
          <c:marker>
            <c:symbol val="plus"/>
            <c:size val="5"/>
            <c:spPr>
              <a:noFill/>
              <a:ln w="9525">
                <a:solidFill>
                  <a:schemeClr val="accent4">
                    <a:lumMod val="75000"/>
                  </a:schemeClr>
                </a:solidFill>
              </a:ln>
              <a:effectLst/>
            </c:spPr>
          </c:marker>
          <c:xVal>
            <c:numRef>
              <c:f>'Height Data'!$B$2:$B$135</c:f>
              <c:numCache>
                <c:formatCode>General</c:formatCode>
                <c:ptCount val="134"/>
                <c:pt idx="0">
                  <c:v>66.242934483345223</c:v>
                </c:pt>
                <c:pt idx="1">
                  <c:v>64.733945362871481</c:v>
                </c:pt>
                <c:pt idx="2">
                  <c:v>66.20535912179669</c:v>
                </c:pt>
                <c:pt idx="3">
                  <c:v>70.566312528836036</c:v>
                </c:pt>
                <c:pt idx="4">
                  <c:v>63.835344305202476</c:v>
                </c:pt>
                <c:pt idx="5">
                  <c:v>68.12539793235554</c:v>
                </c:pt>
                <c:pt idx="6">
                  <c:v>70.406940346506488</c:v>
                </c:pt>
                <c:pt idx="7">
                  <c:v>68.758300257521469</c:v>
                </c:pt>
                <c:pt idx="8">
                  <c:v>68.052733629157672</c:v>
                </c:pt>
                <c:pt idx="9">
                  <c:v>60.337737144125832</c:v>
                </c:pt>
                <c:pt idx="10">
                  <c:v>66.232521294311383</c:v>
                </c:pt>
                <c:pt idx="11">
                  <c:v>66.244666483025384</c:v>
                </c:pt>
                <c:pt idx="12">
                  <c:v>72.926828735755066</c:v>
                </c:pt>
                <c:pt idx="13">
                  <c:v>70.680988386002909</c:v>
                </c:pt>
                <c:pt idx="14">
                  <c:v>62.879952427261607</c:v>
                </c:pt>
                <c:pt idx="15">
                  <c:v>66.520814865113479</c:v>
                </c:pt>
                <c:pt idx="16">
                  <c:v>65.799904367928704</c:v>
                </c:pt>
                <c:pt idx="17">
                  <c:v>63.813916334643544</c:v>
                </c:pt>
                <c:pt idx="18">
                  <c:v>64.136402301466291</c:v>
                </c:pt>
                <c:pt idx="19">
                  <c:v>62.786435009059964</c:v>
                </c:pt>
                <c:pt idx="20">
                  <c:v>69.568648923401881</c:v>
                </c:pt>
                <c:pt idx="21">
                  <c:v>64.317414586693502</c:v>
                </c:pt>
                <c:pt idx="22">
                  <c:v>66.061558501820087</c:v>
                </c:pt>
                <c:pt idx="23">
                  <c:v>65.765903101851904</c:v>
                </c:pt>
                <c:pt idx="24">
                  <c:v>66.820491715120312</c:v>
                </c:pt>
                <c:pt idx="25">
                  <c:v>68.263157362157685</c:v>
                </c:pt>
                <c:pt idx="26">
                  <c:v>63.751664011456583</c:v>
                </c:pt>
                <c:pt idx="27">
                  <c:v>61.139526115604589</c:v>
                </c:pt>
                <c:pt idx="28">
                  <c:v>61.832624825508717</c:v>
                </c:pt>
                <c:pt idx="29">
                  <c:v>64.458155759942073</c:v>
                </c:pt>
                <c:pt idx="30">
                  <c:v>71.43623843106856</c:v>
                </c:pt>
                <c:pt idx="31">
                  <c:v>70.380261068021241</c:v>
                </c:pt>
                <c:pt idx="32">
                  <c:v>67.958562513892531</c:v>
                </c:pt>
                <c:pt idx="33">
                  <c:v>67.050559490969547</c:v>
                </c:pt>
                <c:pt idx="34">
                  <c:v>67.724337352905977</c:v>
                </c:pt>
                <c:pt idx="35">
                  <c:v>62.770845880537131</c:v>
                </c:pt>
                <c:pt idx="36">
                  <c:v>62.293042269721461</c:v>
                </c:pt>
                <c:pt idx="37">
                  <c:v>65.536563806302993</c:v>
                </c:pt>
                <c:pt idx="38">
                  <c:v>67.207745864465835</c:v>
                </c:pt>
                <c:pt idx="39">
                  <c:v>62.547370272693669</c:v>
                </c:pt>
                <c:pt idx="40">
                  <c:v>69.392140184375819</c:v>
                </c:pt>
                <c:pt idx="41">
                  <c:v>67.729854637108858</c:v>
                </c:pt>
                <c:pt idx="42">
                  <c:v>66.083867300281312</c:v>
                </c:pt>
                <c:pt idx="43">
                  <c:v>67.317733735635542</c:v>
                </c:pt>
                <c:pt idx="44">
                  <c:v>66.770176536641756</c:v>
                </c:pt>
                <c:pt idx="45">
                  <c:v>65.802601715232484</c:v>
                </c:pt>
                <c:pt idx="46">
                  <c:v>60.686868681992188</c:v>
                </c:pt>
                <c:pt idx="47">
                  <c:v>70.631436966120845</c:v>
                </c:pt>
                <c:pt idx="48">
                  <c:v>67.822231309414491</c:v>
                </c:pt>
                <c:pt idx="49">
                  <c:v>65.451083517140262</c:v>
                </c:pt>
                <c:pt idx="50">
                  <c:v>69.889156638810135</c:v>
                </c:pt>
                <c:pt idx="51">
                  <c:v>62.575792941732757</c:v>
                </c:pt>
                <c:pt idx="52">
                  <c:v>68.790168500099284</c:v>
                </c:pt>
                <c:pt idx="53">
                  <c:v>65.195396415878776</c:v>
                </c:pt>
                <c:pt idx="54">
                  <c:v>67.083526236133267</c:v>
                </c:pt>
                <c:pt idx="55">
                  <c:v>69.226471004443937</c:v>
                </c:pt>
                <c:pt idx="56">
                  <c:v>61.030827750936695</c:v>
                </c:pt>
                <c:pt idx="57">
                  <c:v>63.986155098356939</c:v>
                </c:pt>
                <c:pt idx="58">
                  <c:v>63.699223418430471</c:v>
                </c:pt>
                <c:pt idx="59">
                  <c:v>60.524657455882306</c:v>
                </c:pt>
                <c:pt idx="60">
                  <c:v>63.690036126164046</c:v>
                </c:pt>
                <c:pt idx="61">
                  <c:v>68.393102668615157</c:v>
                </c:pt>
                <c:pt idx="62">
                  <c:v>72.965816474382478</c:v>
                </c:pt>
                <c:pt idx="63">
                  <c:v>69.132891507536783</c:v>
                </c:pt>
                <c:pt idx="64">
                  <c:v>64.560732642842893</c:v>
                </c:pt>
                <c:pt idx="65">
                  <c:v>65.06553956316084</c:v>
                </c:pt>
                <c:pt idx="66">
                  <c:v>67.584435173268702</c:v>
                </c:pt>
                <c:pt idx="67">
                  <c:v>63.388505838246573</c:v>
                </c:pt>
                <c:pt idx="68">
                  <c:v>68.826396011148987</c:v>
                </c:pt>
                <c:pt idx="69">
                  <c:v>66.901953310334136</c:v>
                </c:pt>
                <c:pt idx="70">
                  <c:v>66.847864430089132</c:v>
                </c:pt>
                <c:pt idx="71">
                  <c:v>63.959480931125611</c:v>
                </c:pt>
                <c:pt idx="72">
                  <c:v>67.00248895781742</c:v>
                </c:pt>
                <c:pt idx="73">
                  <c:v>61.846276541973559</c:v>
                </c:pt>
                <c:pt idx="74">
                  <c:v>68.749918497984808</c:v>
                </c:pt>
                <c:pt idx="75">
                  <c:v>67.412689056446894</c:v>
                </c:pt>
                <c:pt idx="76">
                  <c:v>68.295978068811891</c:v>
                </c:pt>
                <c:pt idx="77">
                  <c:v>63.508756989083238</c:v>
                </c:pt>
                <c:pt idx="78">
                  <c:v>61.360217869183117</c:v>
                </c:pt>
                <c:pt idx="79">
                  <c:v>70.181761015750197</c:v>
                </c:pt>
                <c:pt idx="80">
                  <c:v>67.717765900309033</c:v>
                </c:pt>
                <c:pt idx="81">
                  <c:v>66.949422645155238</c:v>
                </c:pt>
                <c:pt idx="82">
                  <c:v>67.580467316864755</c:v>
                </c:pt>
                <c:pt idx="83">
                  <c:v>65.615480189559364</c:v>
                </c:pt>
                <c:pt idx="84">
                  <c:v>64.663874146530233</c:v>
                </c:pt>
                <c:pt idx="85">
                  <c:v>63.554668904705267</c:v>
                </c:pt>
                <c:pt idx="86">
                  <c:v>64.212661108492156</c:v>
                </c:pt>
                <c:pt idx="87">
                  <c:v>63.582420345152578</c:v>
                </c:pt>
                <c:pt idx="88">
                  <c:v>62.866769667379245</c:v>
                </c:pt>
                <c:pt idx="89">
                  <c:v>69.763586669985443</c:v>
                </c:pt>
                <c:pt idx="90">
                  <c:v>66.019920085971251</c:v>
                </c:pt>
                <c:pt idx="91">
                  <c:v>68.577897562400949</c:v>
                </c:pt>
                <c:pt idx="92">
                  <c:v>62.928766757172859</c:v>
                </c:pt>
                <c:pt idx="93">
                  <c:v>60.650378600522203</c:v>
                </c:pt>
                <c:pt idx="94">
                  <c:v>62.55492046456169</c:v>
                </c:pt>
                <c:pt idx="95">
                  <c:v>64.339837049717559</c:v>
                </c:pt>
                <c:pt idx="96">
                  <c:v>64.601510691071496</c:v>
                </c:pt>
                <c:pt idx="97">
                  <c:v>69.18219008879332</c:v>
                </c:pt>
                <c:pt idx="98">
                  <c:v>65.18081678544219</c:v>
                </c:pt>
                <c:pt idx="99">
                  <c:v>62.53000958906641</c:v>
                </c:pt>
                <c:pt idx="100">
                  <c:v>67.023429216239364</c:v>
                </c:pt>
                <c:pt idx="101">
                  <c:v>65.419694574125401</c:v>
                </c:pt>
                <c:pt idx="102">
                  <c:v>64.527943122945032</c:v>
                </c:pt>
                <c:pt idx="103">
                  <c:v>63.990051817670349</c:v>
                </c:pt>
                <c:pt idx="104">
                  <c:v>64.048047928929293</c:v>
                </c:pt>
                <c:pt idx="105">
                  <c:v>66.004054158487477</c:v>
                </c:pt>
                <c:pt idx="106">
                  <c:v>63.730839164069721</c:v>
                </c:pt>
                <c:pt idx="107">
                  <c:v>64.306882565104132</c:v>
                </c:pt>
                <c:pt idx="108">
                  <c:v>65.939897352211545</c:v>
                </c:pt>
                <c:pt idx="109">
                  <c:v>64.462662881571831</c:v>
                </c:pt>
                <c:pt idx="110">
                  <c:v>68.607508675355433</c:v>
                </c:pt>
                <c:pt idx="111">
                  <c:v>64.862267423302882</c:v>
                </c:pt>
                <c:pt idx="112">
                  <c:v>65.029873080459183</c:v>
                </c:pt>
                <c:pt idx="113">
                  <c:v>60.474622861672934</c:v>
                </c:pt>
                <c:pt idx="114">
                  <c:v>66.903253566519751</c:v>
                </c:pt>
                <c:pt idx="115">
                  <c:v>61.708456177973119</c:v>
                </c:pt>
                <c:pt idx="116">
                  <c:v>64.37725790007093</c:v>
                </c:pt>
                <c:pt idx="117">
                  <c:v>68.591284302048706</c:v>
                </c:pt>
                <c:pt idx="118">
                  <c:v>70.403276438005832</c:v>
                </c:pt>
                <c:pt idx="119">
                  <c:v>62.94308564332897</c:v>
                </c:pt>
                <c:pt idx="120">
                  <c:v>65.928881334843581</c:v>
                </c:pt>
                <c:pt idx="121">
                  <c:v>62.630583080097253</c:v>
                </c:pt>
              </c:numCache>
            </c:numRef>
          </c:xVal>
          <c:yVal>
            <c:numRef>
              <c:f>'Height Data'!$C$2:$C$135</c:f>
              <c:numCache>
                <c:formatCode>General</c:formatCode>
                <c:ptCount val="134"/>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0.1</c:v>
                </c:pt>
                <c:pt idx="27">
                  <c:v>0.1</c:v>
                </c:pt>
                <c:pt idx="28">
                  <c:v>0.1</c:v>
                </c:pt>
                <c:pt idx="29">
                  <c:v>0.1</c:v>
                </c:pt>
                <c:pt idx="30">
                  <c:v>0.1</c:v>
                </c:pt>
                <c:pt idx="31">
                  <c:v>0.1</c:v>
                </c:pt>
                <c:pt idx="32">
                  <c:v>0.1</c:v>
                </c:pt>
                <c:pt idx="33">
                  <c:v>0.1</c:v>
                </c:pt>
                <c:pt idx="34">
                  <c:v>0.1</c:v>
                </c:pt>
                <c:pt idx="35">
                  <c:v>0.1</c:v>
                </c:pt>
                <c:pt idx="36">
                  <c:v>0.1</c:v>
                </c:pt>
                <c:pt idx="37">
                  <c:v>0.1</c:v>
                </c:pt>
                <c:pt idx="38">
                  <c:v>0.1</c:v>
                </c:pt>
                <c:pt idx="39">
                  <c:v>0.1</c:v>
                </c:pt>
                <c:pt idx="40">
                  <c:v>0.1</c:v>
                </c:pt>
                <c:pt idx="41">
                  <c:v>0.1</c:v>
                </c:pt>
                <c:pt idx="42">
                  <c:v>0.1</c:v>
                </c:pt>
                <c:pt idx="43">
                  <c:v>0.1</c:v>
                </c:pt>
                <c:pt idx="44">
                  <c:v>0.1</c:v>
                </c:pt>
                <c:pt idx="45">
                  <c:v>0.1</c:v>
                </c:pt>
                <c:pt idx="46">
                  <c:v>0.1</c:v>
                </c:pt>
                <c:pt idx="47">
                  <c:v>0.1</c:v>
                </c:pt>
                <c:pt idx="48">
                  <c:v>0.1</c:v>
                </c:pt>
                <c:pt idx="49">
                  <c:v>0.1</c:v>
                </c:pt>
                <c:pt idx="50">
                  <c:v>0.1</c:v>
                </c:pt>
                <c:pt idx="51">
                  <c:v>0.1</c:v>
                </c:pt>
                <c:pt idx="52">
                  <c:v>0.1</c:v>
                </c:pt>
                <c:pt idx="53">
                  <c:v>0.1</c:v>
                </c:pt>
                <c:pt idx="54">
                  <c:v>0.1</c:v>
                </c:pt>
                <c:pt idx="55">
                  <c:v>0.1</c:v>
                </c:pt>
                <c:pt idx="56">
                  <c:v>0.1</c:v>
                </c:pt>
                <c:pt idx="57">
                  <c:v>0.1</c:v>
                </c:pt>
                <c:pt idx="58">
                  <c:v>0.1</c:v>
                </c:pt>
                <c:pt idx="59">
                  <c:v>0.1</c:v>
                </c:pt>
                <c:pt idx="60">
                  <c:v>0.1</c:v>
                </c:pt>
                <c:pt idx="61">
                  <c:v>0.1</c:v>
                </c:pt>
                <c:pt idx="62">
                  <c:v>0.1</c:v>
                </c:pt>
                <c:pt idx="63">
                  <c:v>0.1</c:v>
                </c:pt>
                <c:pt idx="64">
                  <c:v>0.1</c:v>
                </c:pt>
                <c:pt idx="65">
                  <c:v>0.1</c:v>
                </c:pt>
                <c:pt idx="66">
                  <c:v>0.1</c:v>
                </c:pt>
                <c:pt idx="67">
                  <c:v>0.1</c:v>
                </c:pt>
                <c:pt idx="68">
                  <c:v>0.1</c:v>
                </c:pt>
                <c:pt idx="69">
                  <c:v>0.1</c:v>
                </c:pt>
                <c:pt idx="70">
                  <c:v>0.1</c:v>
                </c:pt>
                <c:pt idx="71">
                  <c:v>0.1</c:v>
                </c:pt>
                <c:pt idx="72">
                  <c:v>0.1</c:v>
                </c:pt>
                <c:pt idx="73">
                  <c:v>0.1</c:v>
                </c:pt>
                <c:pt idx="74">
                  <c:v>0.1</c:v>
                </c:pt>
                <c:pt idx="75">
                  <c:v>0.1</c:v>
                </c:pt>
                <c:pt idx="76">
                  <c:v>0.1</c:v>
                </c:pt>
                <c:pt idx="77">
                  <c:v>0.1</c:v>
                </c:pt>
                <c:pt idx="78">
                  <c:v>0.1</c:v>
                </c:pt>
                <c:pt idx="79">
                  <c:v>0.1</c:v>
                </c:pt>
                <c:pt idx="80">
                  <c:v>0.1</c:v>
                </c:pt>
                <c:pt idx="81">
                  <c:v>0.1</c:v>
                </c:pt>
                <c:pt idx="82">
                  <c:v>0.1</c:v>
                </c:pt>
                <c:pt idx="83">
                  <c:v>0.1</c:v>
                </c:pt>
                <c:pt idx="84">
                  <c:v>0.1</c:v>
                </c:pt>
                <c:pt idx="85">
                  <c:v>0.1</c:v>
                </c:pt>
                <c:pt idx="86">
                  <c:v>0.1</c:v>
                </c:pt>
                <c:pt idx="87">
                  <c:v>0.1</c:v>
                </c:pt>
                <c:pt idx="88">
                  <c:v>0.1</c:v>
                </c:pt>
                <c:pt idx="89">
                  <c:v>0.1</c:v>
                </c:pt>
                <c:pt idx="90">
                  <c:v>0.1</c:v>
                </c:pt>
                <c:pt idx="91">
                  <c:v>0.1</c:v>
                </c:pt>
                <c:pt idx="92">
                  <c:v>0.1</c:v>
                </c:pt>
                <c:pt idx="93">
                  <c:v>0.1</c:v>
                </c:pt>
                <c:pt idx="94">
                  <c:v>0.1</c:v>
                </c:pt>
                <c:pt idx="95">
                  <c:v>0.1</c:v>
                </c:pt>
                <c:pt idx="96">
                  <c:v>0.1</c:v>
                </c:pt>
                <c:pt idx="97">
                  <c:v>0.1</c:v>
                </c:pt>
                <c:pt idx="98">
                  <c:v>0.1</c:v>
                </c:pt>
                <c:pt idx="99">
                  <c:v>0.1</c:v>
                </c:pt>
                <c:pt idx="100">
                  <c:v>0.1</c:v>
                </c:pt>
                <c:pt idx="101">
                  <c:v>0.1</c:v>
                </c:pt>
                <c:pt idx="102">
                  <c:v>0.1</c:v>
                </c:pt>
                <c:pt idx="103">
                  <c:v>0.1</c:v>
                </c:pt>
                <c:pt idx="104">
                  <c:v>0.1</c:v>
                </c:pt>
                <c:pt idx="105">
                  <c:v>0.1</c:v>
                </c:pt>
                <c:pt idx="106">
                  <c:v>0.1</c:v>
                </c:pt>
                <c:pt idx="107">
                  <c:v>0.1</c:v>
                </c:pt>
                <c:pt idx="108">
                  <c:v>0.1</c:v>
                </c:pt>
                <c:pt idx="109">
                  <c:v>0.1</c:v>
                </c:pt>
                <c:pt idx="110">
                  <c:v>0.1</c:v>
                </c:pt>
                <c:pt idx="111">
                  <c:v>0.1</c:v>
                </c:pt>
                <c:pt idx="112">
                  <c:v>0.1</c:v>
                </c:pt>
                <c:pt idx="113">
                  <c:v>0.1</c:v>
                </c:pt>
                <c:pt idx="114">
                  <c:v>0.1</c:v>
                </c:pt>
                <c:pt idx="115">
                  <c:v>0.1</c:v>
                </c:pt>
                <c:pt idx="116">
                  <c:v>0.1</c:v>
                </c:pt>
                <c:pt idx="117">
                  <c:v>0.1</c:v>
                </c:pt>
                <c:pt idx="118">
                  <c:v>0.1</c:v>
                </c:pt>
                <c:pt idx="119">
                  <c:v>0.1</c:v>
                </c:pt>
                <c:pt idx="120">
                  <c:v>0.1</c:v>
                </c:pt>
                <c:pt idx="121">
                  <c:v>0.1</c:v>
                </c:pt>
              </c:numCache>
            </c:numRef>
          </c:yVal>
          <c:smooth val="0"/>
          <c:extLst>
            <c:ext xmlns:c16="http://schemas.microsoft.com/office/drawing/2014/chart" uri="{C3380CC4-5D6E-409C-BE32-E72D297353CC}">
              <c16:uniqueId val="{00000000-BFD9-4502-9E69-C75152868FDC}"/>
            </c:ext>
          </c:extLst>
        </c:ser>
        <c:dLbls>
          <c:showLegendKey val="0"/>
          <c:showVal val="0"/>
          <c:showCatName val="0"/>
          <c:showSerName val="0"/>
          <c:showPercent val="0"/>
          <c:showBubbleSize val="0"/>
        </c:dLbls>
        <c:axId val="783354432"/>
        <c:axId val="783337152"/>
      </c:scatterChart>
      <c:valAx>
        <c:axId val="783354432"/>
        <c:scaling>
          <c:orientation val="minMax"/>
          <c:max val="79"/>
          <c:min val="57"/>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337152"/>
        <c:crosses val="autoZero"/>
        <c:crossBetween val="midCat"/>
        <c:majorUnit val="1"/>
      </c:valAx>
      <c:valAx>
        <c:axId val="783337152"/>
        <c:scaling>
          <c:orientation val="minMax"/>
          <c:max val="0.2"/>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354432"/>
        <c:crosses val="autoZero"/>
        <c:crossBetween val="midCat"/>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(Almost) Frequency Histogram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'Almost Histogram'!$F$2</c:f>
              <c:strCache>
                <c:ptCount val="1"/>
                <c:pt idx="0">
                  <c:v>Frequency</c:v>
                </c:pt>
              </c:strCache>
            </c:strRef>
          </c:tx>
          <c:spPr>
            <a:solidFill>
              <a:schemeClr val="accent1"/>
            </a:solidFill>
            <a:ln>
              <a:noFill/>
            </a:ln>
            <a:effectLst/>
          </c:spPr>
          <c:invertIfNegative val="0"/>
          <c:dPt>
            <c:idx val="5"/>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D19A-4259-9B24-E4F6D013FC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'Almost Histogram'!$H$4:$H$13</c:f>
              <c:numCache>
                <c:formatCode>0.0</c:formatCode>
                <c:ptCount val="10"/>
                <c:pt idx="0">
                  <c:v>60.968868572062917</c:v>
                </c:pt>
                <c:pt idx="1">
                  <c:v>62.249999999999993</c:v>
                </c:pt>
                <c:pt idx="2">
                  <c:v>63.54999999999999</c:v>
                </c:pt>
                <c:pt idx="3">
                  <c:v>64.849999999999994</c:v>
                </c:pt>
                <c:pt idx="4">
                  <c:v>66.149999999999977</c:v>
                </c:pt>
                <c:pt idx="5">
                  <c:v>67.449999999999989</c:v>
                </c:pt>
                <c:pt idx="6">
                  <c:v>68.749999999999972</c:v>
                </c:pt>
                <c:pt idx="7">
                  <c:v>70.049999999999983</c:v>
                </c:pt>
                <c:pt idx="8">
                  <c:v>71.349999999999966</c:v>
                </c:pt>
                <c:pt idx="9">
                  <c:v>72.649999999999977</c:v>
                </c:pt>
              </c:numCache>
            </c:numRef>
          </c:cat>
          <c:val>
            <c:numRef>
              <c:f>'Almost Histogram'!$F$4:$F$13</c:f>
              <c:numCache>
                <c:formatCode>General</c:formatCode>
                <c:ptCount val="10"/>
                <c:pt idx="0">
                  <c:v>8</c:v>
                </c:pt>
                <c:pt idx="1">
                  <c:v>13</c:v>
                </c:pt>
                <c:pt idx="2">
                  <c:v>17</c:v>
                </c:pt>
                <c:pt idx="3">
                  <c:v>19</c:v>
                </c:pt>
                <c:pt idx="4">
                  <c:v>17</c:v>
                </c:pt>
                <c:pt idx="5">
                  <c:v>20</c:v>
                </c:pt>
                <c:pt idx="6">
                  <c:v>15</c:v>
                </c:pt>
                <c:pt idx="7">
                  <c:v>10</c:v>
                </c:pt>
                <c:pt idx="8">
                  <c:v>1</c:v>
                </c:pt>
                <c:pt idx="9">
                  <c:v>2</c:v>
                </c:pt>
              </c:numCache>
            </c:numRef>
          </c:val>
          <c:extLst>
            <c:ext xmlns:c16="http://schemas.microsoft.com/office/drawing/2014/chart" uri="{C3380CC4-5D6E-409C-BE32-E72D297353CC}">
              <c16:uniqueId val="{00000000-D19A-4259-9B24-E4F6D013FC93}"/>
            </c:ext>
          </c:extLst>
        </c:ser>
        <c:dLbls>
          <c:showLegendKey val="0"/>
          <c:showVal val="0"/>
          <c:showCatName val="0"/>
          <c:showSerName val="0"/>
          <c:showPercent val="0"/>
          <c:showBubbleSize val="0"/>
        </c:dLbls>
        <c:gapWidth val="2"/>
        <c:overlap val="-27"/>
        <c:axId val="517200312"/>
        <c:axId val="517200968"/>
      </c:barChart>
      <c:catAx>
        <c:axId val="517200312"/>
        <c:scaling>
          <c:orientation val="minMax"/>
        </c:scaling>
        <c:delete val="0"/>
        <c:axPos val="b"/>
        <c:numFmt formatCode="0.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200968"/>
        <c:crosses val="autoZero"/>
        <c:auto val="1"/>
        <c:lblAlgn val="ctr"/>
        <c:lblOffset val="100"/>
        <c:noMultiLvlLbl val="0"/>
      </c:catAx>
      <c:valAx>
        <c:axId val="517200968"/>
        <c:scaling>
          <c:orientation val="minMax"/>
        </c:scaling>
        <c:delete val="0"/>
        <c:axPos val="l"/>
        <c:majorGridlines>
          <c:spPr>
            <a:ln w="9525" cap="flat" cmpd="sng" algn="ctr">
              <a:no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200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(Almost) Relative Frequency Histogram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'Almost Histogram'!$G$2</c:f>
              <c:strCache>
                <c:ptCount val="1"/>
                <c:pt idx="0">
                  <c:v>Relative Frequency</c:v>
                </c:pt>
              </c:strCache>
            </c:strRef>
          </c:tx>
          <c:spPr>
            <a:solidFill>
              <a:schemeClr val="accent1"/>
            </a:solidFill>
            <a:ln>
              <a:noFill/>
            </a:ln>
            <a:effectLst/>
          </c:spPr>
          <c:invertIfNegative val="0"/>
          <c:dPt>
            <c:idx val="5"/>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383F-457C-83C8-DCEA72F298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'Almost Histogram'!$H$4:$H$13</c:f>
              <c:numCache>
                <c:formatCode>0.0</c:formatCode>
                <c:ptCount val="10"/>
                <c:pt idx="0">
                  <c:v>60.968868572062917</c:v>
                </c:pt>
                <c:pt idx="1">
                  <c:v>62.249999999999993</c:v>
                </c:pt>
                <c:pt idx="2">
                  <c:v>63.54999999999999</c:v>
                </c:pt>
                <c:pt idx="3">
                  <c:v>64.849999999999994</c:v>
                </c:pt>
                <c:pt idx="4">
                  <c:v>66.149999999999977</c:v>
                </c:pt>
                <c:pt idx="5">
                  <c:v>67.449999999999989</c:v>
                </c:pt>
                <c:pt idx="6">
                  <c:v>68.749999999999972</c:v>
                </c:pt>
                <c:pt idx="7">
                  <c:v>70.049999999999983</c:v>
                </c:pt>
                <c:pt idx="8">
                  <c:v>71.349999999999966</c:v>
                </c:pt>
                <c:pt idx="9">
                  <c:v>72.649999999999977</c:v>
                </c:pt>
              </c:numCache>
            </c:numRef>
          </c:cat>
          <c:val>
            <c:numRef>
              <c:f>'Almost Histogram'!$G$4:$G$13</c:f>
              <c:numCache>
                <c:formatCode>0.0%</c:formatCode>
                <c:ptCount val="10"/>
                <c:pt idx="0">
                  <c:v>6.5573770491803282E-2</c:v>
                </c:pt>
                <c:pt idx="1">
                  <c:v>0.10655737704918032</c:v>
                </c:pt>
                <c:pt idx="2">
                  <c:v>0.13934426229508196</c:v>
                </c:pt>
                <c:pt idx="3">
                  <c:v>0.15573770491803279</c:v>
                </c:pt>
                <c:pt idx="4">
                  <c:v>0.13934426229508196</c:v>
                </c:pt>
                <c:pt idx="5">
                  <c:v>0.16393442622950818</c:v>
                </c:pt>
                <c:pt idx="6">
                  <c:v>0.12295081967213115</c:v>
                </c:pt>
                <c:pt idx="7">
                  <c:v>8.1967213114754092E-2</c:v>
                </c:pt>
                <c:pt idx="8">
                  <c:v>8.1967213114754103E-3</c:v>
                </c:pt>
                <c:pt idx="9">
                  <c:v>1.6393442622950821E-2</c:v>
                </c:pt>
              </c:numCache>
            </c:numRef>
          </c:val>
          <c:extLst>
            <c:ext xmlns:c16="http://schemas.microsoft.com/office/drawing/2014/chart" uri="{C3380CC4-5D6E-409C-BE32-E72D297353CC}">
              <c16:uniqueId val="{00000000-0FF1-47D8-A13F-C36E540DEEF5}"/>
            </c:ext>
          </c:extLst>
        </c:ser>
        <c:dLbls>
          <c:showLegendKey val="0"/>
          <c:showVal val="0"/>
          <c:showCatName val="0"/>
          <c:showSerName val="0"/>
          <c:showPercent val="0"/>
          <c:showBubbleSize val="0"/>
        </c:dLbls>
        <c:gapWidth val="2"/>
        <c:overlap val="-27"/>
        <c:axId val="517221304"/>
        <c:axId val="517214744"/>
      </c:barChart>
      <c:catAx>
        <c:axId val="517221304"/>
        <c:scaling>
          <c:orientation val="minMax"/>
        </c:scaling>
        <c:delete val="0"/>
        <c:axPos val="b"/>
        <c:numFmt formatCode="0.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214744"/>
        <c:crosses val="autoZero"/>
        <c:auto val="1"/>
        <c:lblAlgn val="ctr"/>
        <c:lblOffset val="100"/>
        <c:noMultiLvlLbl val="0"/>
      </c:catAx>
      <c:valAx>
        <c:axId val="517214744"/>
        <c:scaling>
          <c:orientation val="minMax"/>
        </c:scaling>
        <c:delete val="0"/>
        <c:axPos val="l"/>
        <c:majorGridlines>
          <c:spPr>
            <a:ln w="9525" cap="flat" cmpd="sng" algn="ctr">
              <a:noFill/>
              <a:round/>
            </a:ln>
            <a:effectLst/>
          </c:spPr>
        </c:majorGridlines>
        <c:numFmt formatCode="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221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'Histogram (Equal Bin Width)'!$F$1</c:f>
              <c:strCache>
                <c:ptCount val="1"/>
                <c:pt idx="0">
                  <c:v>Frequency 
Density</c:v>
                </c:pt>
              </c:strCache>
            </c:strRef>
          </c:tx>
          <c:spPr>
            <a:solidFill>
              <a:schemeClr val="accent1"/>
            </a:solidFill>
            <a:ln>
              <a:noFill/>
            </a:ln>
            <a:effectLst/>
          </c:spPr>
          <c:invertIfNegative val="0"/>
          <c:dPt>
            <c:idx val="5"/>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2F50-40B8-9C25-FA218E195B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'Histogram (Equal Bin Width)'!$I$4:$I$13</c:f>
              <c:numCache>
                <c:formatCode>0.0</c:formatCode>
                <c:ptCount val="10"/>
                <c:pt idx="0">
                  <c:v>60.968868572062917</c:v>
                </c:pt>
                <c:pt idx="1">
                  <c:v>62.249999999999993</c:v>
                </c:pt>
                <c:pt idx="2">
                  <c:v>63.54999999999999</c:v>
                </c:pt>
                <c:pt idx="3">
                  <c:v>64.849999999999994</c:v>
                </c:pt>
                <c:pt idx="4">
                  <c:v>66.149999999999977</c:v>
                </c:pt>
                <c:pt idx="5">
                  <c:v>67.449999999999989</c:v>
                </c:pt>
                <c:pt idx="6">
                  <c:v>68.749999999999972</c:v>
                </c:pt>
                <c:pt idx="7">
                  <c:v>70.049999999999983</c:v>
                </c:pt>
                <c:pt idx="8">
                  <c:v>71.349999999999966</c:v>
                </c:pt>
                <c:pt idx="9">
                  <c:v>72.649999999999977</c:v>
                </c:pt>
              </c:numCache>
            </c:numRef>
          </c:cat>
          <c:val>
            <c:numRef>
              <c:f>'Histogram (Equal Bin Width)'!$F$4:$F$13</c:f>
              <c:numCache>
                <c:formatCode>0.00</c:formatCode>
                <c:ptCount val="10"/>
                <c:pt idx="0">
                  <c:v>6.15</c:v>
                </c:pt>
                <c:pt idx="1">
                  <c:v>10</c:v>
                </c:pt>
                <c:pt idx="2">
                  <c:v>13.08</c:v>
                </c:pt>
                <c:pt idx="3">
                  <c:v>14.62</c:v>
                </c:pt>
                <c:pt idx="4">
                  <c:v>13.08</c:v>
                </c:pt>
                <c:pt idx="5">
                  <c:v>15.38</c:v>
                </c:pt>
                <c:pt idx="6">
                  <c:v>11.54</c:v>
                </c:pt>
                <c:pt idx="7">
                  <c:v>7.69</c:v>
                </c:pt>
                <c:pt idx="8">
                  <c:v>0.77</c:v>
                </c:pt>
                <c:pt idx="9">
                  <c:v>1.54</c:v>
                </c:pt>
              </c:numCache>
            </c:numRef>
          </c:val>
          <c:extLst>
            <c:ext xmlns:c16="http://schemas.microsoft.com/office/drawing/2014/chart" uri="{C3380CC4-5D6E-409C-BE32-E72D297353CC}">
              <c16:uniqueId val="{00000002-2F50-40B8-9C25-FA218E195B48}"/>
            </c:ext>
          </c:extLst>
        </c:ser>
        <c:dLbls>
          <c:showLegendKey val="0"/>
          <c:showVal val="0"/>
          <c:showCatName val="0"/>
          <c:showSerName val="0"/>
          <c:showPercent val="0"/>
          <c:showBubbleSize val="0"/>
        </c:dLbls>
        <c:gapWidth val="2"/>
        <c:overlap val="-27"/>
        <c:axId val="517200312"/>
        <c:axId val="517200968"/>
      </c:barChart>
      <c:catAx>
        <c:axId val="517200312"/>
        <c:scaling>
          <c:orientation val="minMax"/>
        </c:scaling>
        <c:delete val="0"/>
        <c:axPos val="b"/>
        <c:numFmt formatCode="0.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200968"/>
        <c:crosses val="autoZero"/>
        <c:auto val="1"/>
        <c:lblAlgn val="ctr"/>
        <c:lblOffset val="100"/>
        <c:noMultiLvlLbl val="0"/>
      </c:catAx>
      <c:valAx>
        <c:axId val="517200968"/>
        <c:scaling>
          <c:orientation val="minMax"/>
        </c:scaling>
        <c:delete val="0"/>
        <c:axPos val="l"/>
        <c:majorGridlines>
          <c:spPr>
            <a:ln w="9525" cap="flat" cmpd="sng" algn="ctr">
              <a:noFill/>
              <a:round/>
            </a:ln>
            <a:effectLst/>
          </c:spPr>
        </c:majorGridlines>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200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'Histogram (Equal Bin Width)'!$G$1</c:f>
              <c:strCache>
                <c:ptCount val="1"/>
                <c:pt idx="0">
                  <c:v>Relative Frequency
Density</c:v>
                </c:pt>
              </c:strCache>
            </c:strRef>
          </c:tx>
          <c:spPr>
            <a:solidFill>
              <a:schemeClr val="accent1"/>
            </a:solidFill>
            <a:ln>
              <a:noFill/>
            </a:ln>
            <a:effectLst/>
          </c:spPr>
          <c:invertIfNegative val="0"/>
          <c:dPt>
            <c:idx val="5"/>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8186-4EA5-9481-DB407D73DB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'Almost Histogram'!$H$4:$H$13</c:f>
              <c:numCache>
                <c:formatCode>0.0</c:formatCode>
                <c:ptCount val="10"/>
                <c:pt idx="0">
                  <c:v>60.968868572062917</c:v>
                </c:pt>
                <c:pt idx="1">
                  <c:v>62.249999999999993</c:v>
                </c:pt>
                <c:pt idx="2">
                  <c:v>63.54999999999999</c:v>
                </c:pt>
                <c:pt idx="3">
                  <c:v>64.849999999999994</c:v>
                </c:pt>
                <c:pt idx="4">
                  <c:v>66.149999999999977</c:v>
                </c:pt>
                <c:pt idx="5">
                  <c:v>67.449999999999989</c:v>
                </c:pt>
                <c:pt idx="6">
                  <c:v>68.749999999999972</c:v>
                </c:pt>
                <c:pt idx="7">
                  <c:v>70.049999999999983</c:v>
                </c:pt>
                <c:pt idx="8">
                  <c:v>71.349999999999966</c:v>
                </c:pt>
                <c:pt idx="9">
                  <c:v>72.649999999999977</c:v>
                </c:pt>
              </c:numCache>
            </c:numRef>
          </c:cat>
          <c:val>
            <c:numRef>
              <c:f>'Histogram (Equal Bin Width)'!$G$4:$G$13</c:f>
              <c:numCache>
                <c:formatCode>0.00%</c:formatCode>
                <c:ptCount val="10"/>
                <c:pt idx="0">
                  <c:v>5.0409836065573775E-2</c:v>
                </c:pt>
                <c:pt idx="1">
                  <c:v>8.1967213114754092E-2</c:v>
                </c:pt>
                <c:pt idx="2">
                  <c:v>0.10721311475409837</c:v>
                </c:pt>
                <c:pt idx="3">
                  <c:v>0.11983606557377048</c:v>
                </c:pt>
                <c:pt idx="4">
                  <c:v>0.10721311475409837</c:v>
                </c:pt>
                <c:pt idx="5">
                  <c:v>0.12606557377049182</c:v>
                </c:pt>
                <c:pt idx="6">
                  <c:v>9.4590163934426222E-2</c:v>
                </c:pt>
                <c:pt idx="7">
                  <c:v>6.3032786885245912E-2</c:v>
                </c:pt>
                <c:pt idx="8">
                  <c:v>6.3114754098360657E-3</c:v>
                </c:pt>
                <c:pt idx="9">
                  <c:v>1.2622950819672131E-2</c:v>
                </c:pt>
              </c:numCache>
            </c:numRef>
          </c:val>
          <c:extLst>
            <c:ext xmlns:c16="http://schemas.microsoft.com/office/drawing/2014/chart" uri="{C3380CC4-5D6E-409C-BE32-E72D297353CC}">
              <c16:uniqueId val="{00000002-8186-4EA5-9481-DB407D73DB5A}"/>
            </c:ext>
          </c:extLst>
        </c:ser>
        <c:dLbls>
          <c:showLegendKey val="0"/>
          <c:showVal val="0"/>
          <c:showCatName val="0"/>
          <c:showSerName val="0"/>
          <c:showPercent val="0"/>
          <c:showBubbleSize val="0"/>
        </c:dLbls>
        <c:gapWidth val="2"/>
        <c:overlap val="-27"/>
        <c:axId val="517221304"/>
        <c:axId val="517214744"/>
      </c:barChart>
      <c:catAx>
        <c:axId val="517221304"/>
        <c:scaling>
          <c:orientation val="minMax"/>
        </c:scaling>
        <c:delete val="0"/>
        <c:axPos val="b"/>
        <c:numFmt formatCode="0.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214744"/>
        <c:crosses val="autoZero"/>
        <c:auto val="1"/>
        <c:lblAlgn val="ctr"/>
        <c:lblOffset val="100"/>
        <c:noMultiLvlLbl val="0"/>
      </c:catAx>
      <c:valAx>
        <c:axId val="517214744"/>
        <c:scaling>
          <c:orientation val="minMax"/>
        </c:scaling>
        <c:delete val="0"/>
        <c:axPos val="l"/>
        <c:majorGridlines>
          <c:spPr>
            <a:ln w="9525" cap="flat" cmpd="sng" algn="ctr">
              <a:noFill/>
              <a:round/>
            </a:ln>
            <a:effectLst/>
          </c:spPr>
        </c:majorGridlines>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221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Histogram</a:t>
            </a:r>
            <a:r>
              <a:rPr lang="en-US" baseline="0"/>
              <a:t> (Unequal Bins)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none"/>
          </c:marker>
          <c:dLbls>
            <c:dLbl>
              <c:idx val="2"/>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EC6-408E-8085-10C7D1551323}"/>
                </c:ext>
              </c:extLst>
            </c:dLbl>
            <c:dLbl>
              <c:idx val="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EC6-408E-8085-10C7D1551323}"/>
                </c:ext>
              </c:extLst>
            </c:dLbl>
            <c:dLbl>
              <c:idx val="12"/>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EC6-408E-8085-10C7D1551323}"/>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EC6-408E-8085-10C7D15513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'Histogram (Unequal Bin Widths)'!$E$9:$E$28</c:f>
              <c:numCache>
                <c:formatCode>General</c:formatCode>
                <c:ptCount val="20"/>
                <c:pt idx="0">
                  <c:v>60.3</c:v>
                </c:pt>
                <c:pt idx="1">
                  <c:v>60.3</c:v>
                </c:pt>
                <c:pt idx="2">
                  <c:v>62.249999999999993</c:v>
                </c:pt>
                <c:pt idx="3">
                  <c:v>64.199999999999989</c:v>
                </c:pt>
                <c:pt idx="4">
                  <c:v>64.199999999999989</c:v>
                </c:pt>
                <c:pt idx="5">
                  <c:v>64.199999999999989</c:v>
                </c:pt>
                <c:pt idx="6">
                  <c:v>64.199999999999989</c:v>
                </c:pt>
                <c:pt idx="7">
                  <c:v>65.499999999999986</c:v>
                </c:pt>
                <c:pt idx="8">
                  <c:v>66.799999999999983</c:v>
                </c:pt>
                <c:pt idx="9">
                  <c:v>66.799999999999983</c:v>
                </c:pt>
                <c:pt idx="10">
                  <c:v>66.799999999999983</c:v>
                </c:pt>
                <c:pt idx="11">
                  <c:v>66.799999999999983</c:v>
                </c:pt>
                <c:pt idx="12">
                  <c:v>68.09999999999998</c:v>
                </c:pt>
                <c:pt idx="13">
                  <c:v>69.399999999999977</c:v>
                </c:pt>
                <c:pt idx="14">
                  <c:v>69.399999999999977</c:v>
                </c:pt>
                <c:pt idx="15">
                  <c:v>69.399999999999977</c:v>
                </c:pt>
                <c:pt idx="16">
                  <c:v>69.399999999999977</c:v>
                </c:pt>
                <c:pt idx="17">
                  <c:v>71.349999999999966</c:v>
                </c:pt>
                <c:pt idx="18">
                  <c:v>73.299999999999969</c:v>
                </c:pt>
                <c:pt idx="19">
                  <c:v>73.299999999999969</c:v>
                </c:pt>
              </c:numCache>
            </c:numRef>
          </c:xVal>
          <c:yVal>
            <c:numRef>
              <c:f>'Histogram (Unequal Bin Widths)'!$F$9:$F$28</c:f>
              <c:numCache>
                <c:formatCode>0.00</c:formatCode>
                <c:ptCount val="20"/>
                <c:pt idx="0">
                  <c:v>0</c:v>
                </c:pt>
                <c:pt idx="1">
                  <c:v>9.743589743589764</c:v>
                </c:pt>
                <c:pt idx="2">
                  <c:v>9.743589743589764</c:v>
                </c:pt>
                <c:pt idx="3">
                  <c:v>9.743589743589764</c:v>
                </c:pt>
                <c:pt idx="4">
                  <c:v>0</c:v>
                </c:pt>
                <c:pt idx="5">
                  <c:v>0</c:v>
                </c:pt>
                <c:pt idx="6">
                  <c:v>13.846153846153877</c:v>
                </c:pt>
                <c:pt idx="7">
                  <c:v>13.846153846153877</c:v>
                </c:pt>
                <c:pt idx="8">
                  <c:v>13.846153846153877</c:v>
                </c:pt>
                <c:pt idx="9">
                  <c:v>0</c:v>
                </c:pt>
                <c:pt idx="10">
                  <c:v>0</c:v>
                </c:pt>
                <c:pt idx="11">
                  <c:v>13.46153846153849</c:v>
                </c:pt>
                <c:pt idx="12">
                  <c:v>13.46153846153849</c:v>
                </c:pt>
                <c:pt idx="13">
                  <c:v>13.46153846153849</c:v>
                </c:pt>
                <c:pt idx="14">
                  <c:v>0</c:v>
                </c:pt>
                <c:pt idx="15">
                  <c:v>0</c:v>
                </c:pt>
                <c:pt idx="16">
                  <c:v>3.3333333333333406</c:v>
                </c:pt>
                <c:pt idx="17">
                  <c:v>3.3333333333333406</c:v>
                </c:pt>
                <c:pt idx="18">
                  <c:v>3.3333333333333406</c:v>
                </c:pt>
                <c:pt idx="19">
                  <c:v>0</c:v>
                </c:pt>
              </c:numCache>
            </c:numRef>
          </c:yVal>
          <c:smooth val="0"/>
          <c:extLst>
            <c:ext xmlns:c16="http://schemas.microsoft.com/office/drawing/2014/chart" uri="{C3380CC4-5D6E-409C-BE32-E72D297353CC}">
              <c16:uniqueId val="{00000000-CEC6-408E-8085-10C7D1551323}"/>
            </c:ext>
          </c:extLst>
        </c:ser>
        <c:ser>
          <c:idx val="1"/>
          <c:order val="1"/>
          <c:spPr>
            <a:ln w="25400" cap="rnd">
              <a:noFill/>
              <a:round/>
            </a:ln>
            <a:effectLst/>
          </c:spPr>
          <c:marker>
            <c:symbol val="plus"/>
            <c:size val="4"/>
            <c:spPr>
              <a:noFill/>
              <a:ln w="9525">
                <a:solidFill>
                  <a:schemeClr val="accent2"/>
                </a:solidFill>
              </a:ln>
              <a:effectLst/>
            </c:spPr>
          </c:marker>
          <c:xVal>
            <c:numRef>
              <c:f>'Histogram (Unequal Bin Widths)'!$B$3:$B$124</c:f>
              <c:numCache>
                <c:formatCode>0.00</c:formatCode>
                <c:ptCount val="122"/>
                <c:pt idx="0">
                  <c:v>66.242934483345223</c:v>
                </c:pt>
                <c:pt idx="1">
                  <c:v>64.733945362871481</c:v>
                </c:pt>
                <c:pt idx="2">
                  <c:v>66.20535912179669</c:v>
                </c:pt>
                <c:pt idx="3">
                  <c:v>70.566312528836036</c:v>
                </c:pt>
                <c:pt idx="4">
                  <c:v>63.835344305202476</c:v>
                </c:pt>
                <c:pt idx="5">
                  <c:v>68.12539793235554</c:v>
                </c:pt>
                <c:pt idx="6">
                  <c:v>70.406940346506488</c:v>
                </c:pt>
                <c:pt idx="7">
                  <c:v>68.758300257521469</c:v>
                </c:pt>
                <c:pt idx="8">
                  <c:v>68.052733629157672</c:v>
                </c:pt>
                <c:pt idx="9">
                  <c:v>60.337737144125832</c:v>
                </c:pt>
                <c:pt idx="10">
                  <c:v>66.232521294311383</c:v>
                </c:pt>
                <c:pt idx="11">
                  <c:v>66.244666483025384</c:v>
                </c:pt>
                <c:pt idx="12">
                  <c:v>72.926828735755066</c:v>
                </c:pt>
                <c:pt idx="13">
                  <c:v>70.680988386002909</c:v>
                </c:pt>
                <c:pt idx="14">
                  <c:v>62.879952427261607</c:v>
                </c:pt>
                <c:pt idx="15">
                  <c:v>66.520814865113479</c:v>
                </c:pt>
                <c:pt idx="16">
                  <c:v>65.799904367928704</c:v>
                </c:pt>
                <c:pt idx="17">
                  <c:v>63.813916334643544</c:v>
                </c:pt>
                <c:pt idx="18">
                  <c:v>64.136402301466291</c:v>
                </c:pt>
                <c:pt idx="19">
                  <c:v>62.786435009059964</c:v>
                </c:pt>
                <c:pt idx="20">
                  <c:v>69.568648923401881</c:v>
                </c:pt>
                <c:pt idx="21">
                  <c:v>64.317414586693502</c:v>
                </c:pt>
                <c:pt idx="22">
                  <c:v>66.061558501820087</c:v>
                </c:pt>
                <c:pt idx="23">
                  <c:v>65.765903101851904</c:v>
                </c:pt>
                <c:pt idx="24">
                  <c:v>66.820491715120312</c:v>
                </c:pt>
                <c:pt idx="25">
                  <c:v>68.263157362157685</c:v>
                </c:pt>
                <c:pt idx="26">
                  <c:v>63.751664011456583</c:v>
                </c:pt>
                <c:pt idx="27">
                  <c:v>61.139526115604589</c:v>
                </c:pt>
                <c:pt idx="28">
                  <c:v>61.832624825508717</c:v>
                </c:pt>
                <c:pt idx="29">
                  <c:v>64.458155759942073</c:v>
                </c:pt>
                <c:pt idx="30">
                  <c:v>71.43623843106856</c:v>
                </c:pt>
                <c:pt idx="31">
                  <c:v>70.380261068021241</c:v>
                </c:pt>
                <c:pt idx="32">
                  <c:v>67.958562513892531</c:v>
                </c:pt>
                <c:pt idx="33">
                  <c:v>67.050559490969547</c:v>
                </c:pt>
                <c:pt idx="34">
                  <c:v>67.724337352905977</c:v>
                </c:pt>
                <c:pt idx="35">
                  <c:v>62.770845880537131</c:v>
                </c:pt>
                <c:pt idx="36">
                  <c:v>62.293042269721461</c:v>
                </c:pt>
                <c:pt idx="37">
                  <c:v>65.536563806302993</c:v>
                </c:pt>
                <c:pt idx="38">
                  <c:v>67.207745864465835</c:v>
                </c:pt>
                <c:pt idx="39">
                  <c:v>62.547370272693669</c:v>
                </c:pt>
                <c:pt idx="40">
                  <c:v>69.392140184375819</c:v>
                </c:pt>
                <c:pt idx="41">
                  <c:v>67.729854637108858</c:v>
                </c:pt>
                <c:pt idx="42">
                  <c:v>66.083867300281312</c:v>
                </c:pt>
                <c:pt idx="43">
                  <c:v>67.317733735635542</c:v>
                </c:pt>
                <c:pt idx="44">
                  <c:v>66.770176536641756</c:v>
                </c:pt>
                <c:pt idx="45">
                  <c:v>65.802601715232484</c:v>
                </c:pt>
                <c:pt idx="46">
                  <c:v>60.686868681992188</c:v>
                </c:pt>
                <c:pt idx="47">
                  <c:v>70.631436966120845</c:v>
                </c:pt>
                <c:pt idx="48">
                  <c:v>67.822231309414491</c:v>
                </c:pt>
                <c:pt idx="49">
                  <c:v>65.451083517140262</c:v>
                </c:pt>
                <c:pt idx="50">
                  <c:v>69.889156638810135</c:v>
                </c:pt>
                <c:pt idx="51">
                  <c:v>62.575792941732757</c:v>
                </c:pt>
                <c:pt idx="52">
                  <c:v>68.790168500099284</c:v>
                </c:pt>
                <c:pt idx="53">
                  <c:v>65.195396415878776</c:v>
                </c:pt>
                <c:pt idx="54">
                  <c:v>67.083526236133267</c:v>
                </c:pt>
                <c:pt idx="55">
                  <c:v>69.226471004443937</c:v>
                </c:pt>
                <c:pt idx="56">
                  <c:v>61.030827750936695</c:v>
                </c:pt>
                <c:pt idx="57">
                  <c:v>63.986155098356939</c:v>
                </c:pt>
                <c:pt idx="58">
                  <c:v>63.699223418430471</c:v>
                </c:pt>
                <c:pt idx="59">
                  <c:v>60.524657455882306</c:v>
                </c:pt>
                <c:pt idx="60">
                  <c:v>63.690036126164046</c:v>
                </c:pt>
                <c:pt idx="61">
                  <c:v>68.393102668615157</c:v>
                </c:pt>
                <c:pt idx="62">
                  <c:v>72.965816474382478</c:v>
                </c:pt>
                <c:pt idx="63">
                  <c:v>69.132891507536783</c:v>
                </c:pt>
                <c:pt idx="64">
                  <c:v>64.560732642842893</c:v>
                </c:pt>
                <c:pt idx="65">
                  <c:v>65.06553956316084</c:v>
                </c:pt>
                <c:pt idx="66">
                  <c:v>67.584435173268702</c:v>
                </c:pt>
                <c:pt idx="67">
                  <c:v>63.388505838246573</c:v>
                </c:pt>
                <c:pt idx="68">
                  <c:v>68.826396011148987</c:v>
                </c:pt>
                <c:pt idx="69">
                  <c:v>66.901953310334136</c:v>
                </c:pt>
                <c:pt idx="70">
                  <c:v>66.847864430089132</c:v>
                </c:pt>
                <c:pt idx="71">
                  <c:v>63.959480931125611</c:v>
                </c:pt>
                <c:pt idx="72">
                  <c:v>67.00248895781742</c:v>
                </c:pt>
                <c:pt idx="73">
                  <c:v>61.846276541973559</c:v>
                </c:pt>
                <c:pt idx="74">
                  <c:v>68.749918497984808</c:v>
                </c:pt>
                <c:pt idx="75">
                  <c:v>67.412689056446894</c:v>
                </c:pt>
                <c:pt idx="76">
                  <c:v>68.295978068811891</c:v>
                </c:pt>
                <c:pt idx="77">
                  <c:v>63.508756989083238</c:v>
                </c:pt>
                <c:pt idx="78">
                  <c:v>61.360217869183117</c:v>
                </c:pt>
                <c:pt idx="79">
                  <c:v>70.181761015750197</c:v>
                </c:pt>
                <c:pt idx="80">
                  <c:v>67.717765900309033</c:v>
                </c:pt>
                <c:pt idx="81">
                  <c:v>66.949422645155238</c:v>
                </c:pt>
                <c:pt idx="82">
                  <c:v>67.580467316864755</c:v>
                </c:pt>
                <c:pt idx="83">
                  <c:v>65.615480189559364</c:v>
                </c:pt>
                <c:pt idx="84">
                  <c:v>64.663874146530233</c:v>
                </c:pt>
                <c:pt idx="85">
                  <c:v>63.554668904705267</c:v>
                </c:pt>
                <c:pt idx="86">
                  <c:v>64.212661108492156</c:v>
                </c:pt>
                <c:pt idx="87">
                  <c:v>63.582420345152578</c:v>
                </c:pt>
                <c:pt idx="88">
                  <c:v>62.866769667379245</c:v>
                </c:pt>
                <c:pt idx="89">
                  <c:v>69.763586669985443</c:v>
                </c:pt>
                <c:pt idx="90">
                  <c:v>66.019920085971251</c:v>
                </c:pt>
                <c:pt idx="91">
                  <c:v>68.577897562400949</c:v>
                </c:pt>
                <c:pt idx="92">
                  <c:v>62.928766757172859</c:v>
                </c:pt>
                <c:pt idx="93">
                  <c:v>60.650378600522203</c:v>
                </c:pt>
                <c:pt idx="94">
                  <c:v>62.55492046456169</c:v>
                </c:pt>
                <c:pt idx="95">
                  <c:v>64.339837049717559</c:v>
                </c:pt>
                <c:pt idx="96">
                  <c:v>64.601510691071496</c:v>
                </c:pt>
                <c:pt idx="97">
                  <c:v>69.18219008879332</c:v>
                </c:pt>
                <c:pt idx="98">
                  <c:v>65.18081678544219</c:v>
                </c:pt>
                <c:pt idx="99">
                  <c:v>62.53000958906641</c:v>
                </c:pt>
                <c:pt idx="100">
                  <c:v>67.023429216239364</c:v>
                </c:pt>
                <c:pt idx="101">
                  <c:v>65.419694574125401</c:v>
                </c:pt>
                <c:pt idx="102">
                  <c:v>64.527943122945032</c:v>
                </c:pt>
                <c:pt idx="103">
                  <c:v>63.990051817670349</c:v>
                </c:pt>
                <c:pt idx="104">
                  <c:v>64.048047928929293</c:v>
                </c:pt>
                <c:pt idx="105">
                  <c:v>66.004054158487477</c:v>
                </c:pt>
                <c:pt idx="106">
                  <c:v>63.730839164069721</c:v>
                </c:pt>
                <c:pt idx="107">
                  <c:v>64.306882565104132</c:v>
                </c:pt>
                <c:pt idx="108">
                  <c:v>65.939897352211545</c:v>
                </c:pt>
                <c:pt idx="109">
                  <c:v>64.462662881571831</c:v>
                </c:pt>
                <c:pt idx="110">
                  <c:v>68.607508675355433</c:v>
                </c:pt>
                <c:pt idx="111">
                  <c:v>64.862267423302882</c:v>
                </c:pt>
                <c:pt idx="112">
                  <c:v>65.029873080459183</c:v>
                </c:pt>
                <c:pt idx="113">
                  <c:v>60.474622861672934</c:v>
                </c:pt>
                <c:pt idx="114">
                  <c:v>66.903253566519751</c:v>
                </c:pt>
                <c:pt idx="115">
                  <c:v>61.708456177973119</c:v>
                </c:pt>
                <c:pt idx="116">
                  <c:v>64.37725790007093</c:v>
                </c:pt>
                <c:pt idx="117">
                  <c:v>68.591284302048706</c:v>
                </c:pt>
                <c:pt idx="118">
                  <c:v>70.403276438005832</c:v>
                </c:pt>
                <c:pt idx="119">
                  <c:v>62.94308564332897</c:v>
                </c:pt>
                <c:pt idx="120">
                  <c:v>65.928881334843581</c:v>
                </c:pt>
                <c:pt idx="121">
                  <c:v>62.630583080097253</c:v>
                </c:pt>
              </c:numCache>
            </c:numRef>
          </c:xVal>
          <c:yVal>
            <c:numRef>
              <c:f>'Histogram (Unequal Bin Widths)'!$C$3:$C$124</c:f>
              <c:numCache>
                <c:formatCode>General</c:formatCode>
                <c:ptCount val="1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numCache>
            </c:numRef>
          </c:yVal>
          <c:smooth val="0"/>
          <c:extLst>
            <c:ext xmlns:c16="http://schemas.microsoft.com/office/drawing/2014/chart" uri="{C3380CC4-5D6E-409C-BE32-E72D297353CC}">
              <c16:uniqueId val="{00000000-705F-47EC-88C9-43992F8B0870}"/>
            </c:ext>
          </c:extLst>
        </c:ser>
        <c:dLbls>
          <c:showLegendKey val="0"/>
          <c:showVal val="0"/>
          <c:showCatName val="0"/>
          <c:showSerName val="0"/>
          <c:showPercent val="0"/>
          <c:showBubbleSize val="0"/>
        </c:dLbls>
        <c:axId val="631358296"/>
        <c:axId val="631360920"/>
      </c:scatterChart>
      <c:valAx>
        <c:axId val="631358296"/>
        <c:scaling>
          <c:orientation val="minMax"/>
          <c:max val="79"/>
          <c:min val="57"/>
        </c:scaling>
        <c:delete val="0"/>
        <c:axPos val="b"/>
        <c:majorGridlines>
          <c:spPr>
            <a:ln w="9525" cap="flat" cmpd="sng" algn="ctr">
              <a:noFill/>
              <a:round/>
            </a:ln>
            <a:effectLst/>
          </c:spPr>
        </c:majorGridlines>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360920"/>
        <c:crosses val="autoZero"/>
        <c:crossBetween val="midCat"/>
        <c:majorUnit val="2"/>
      </c:valAx>
      <c:valAx>
        <c:axId val="631360920"/>
        <c:scaling>
          <c:orientation val="minMax"/>
        </c:scaling>
        <c:delete val="1"/>
        <c:axPos val="l"/>
        <c:majorGridlines>
          <c:spPr>
            <a:ln w="9525" cap="flat" cmpd="sng" algn="ctr">
              <a:noFill/>
              <a:round/>
            </a:ln>
            <a:effectLst>
              <a:outerShdw blurRad="50800" sx="1000" sy="1000" algn="ctr" rotWithShape="0">
                <a:schemeClr val="accent1">
                  <a:lumMod val="20000"/>
                  <a:lumOff val="80000"/>
                </a:schemeClr>
              </a:outerShdw>
            </a:effectLst>
          </c:spPr>
        </c:majorGridlines>
        <c:numFmt formatCode="0.00" sourceLinked="1"/>
        <c:majorTickMark val="out"/>
        <c:minorTickMark val="none"/>
        <c:tickLblPos val="nextTo"/>
        <c:crossAx val="631358296"/>
        <c:crosses val="autoZero"/>
        <c:crossBetween val="midCat"/>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Histogram</a:t>
            </a:r>
            <a:r>
              <a:rPr lang="en-US" baseline="0"/>
              <a:t> (Equal Bins)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7777777777777776E-2"/>
          <c:y val="0.17123730378578025"/>
          <c:w val="0.93888888888888888"/>
          <c:h val="0.72166081386641079"/>
        </c:manualLayout>
      </c:layout>
      <c:barChart>
        <c:barDir val="col"/>
        <c:grouping val="clustered"/>
        <c:varyColors val="0"/>
        <c:ser>
          <c:idx val="0"/>
          <c:order val="0"/>
          <c:tx>
            <c:strRef>
              <c:f>'Histogram (Equal Bin Width)'!$F$1:$F$3</c:f>
              <c:strCache>
                <c:ptCount val="3"/>
                <c:pt idx="0">
                  <c:v>Frequency 
Density</c:v>
                </c:pt>
              </c:strCache>
            </c:strRef>
          </c:tx>
          <c:spPr>
            <a:solidFill>
              <a:sysClr val="window" lastClr="FFFFFF"/>
            </a:solidFill>
            <a:ln w="19050">
              <a:solidFill>
                <a:srgbClr val="4472C4"/>
              </a:solidFill>
            </a:ln>
            <a:effectLst/>
          </c:spPr>
          <c:invertIfNegative val="0"/>
          <c:dPt>
            <c:idx val="0"/>
            <c:invertIfNegative val="0"/>
            <c:bubble3D val="0"/>
            <c:spPr>
              <a:solidFill>
                <a:sysClr val="window" lastClr="FFFFFF">
                  <a:lumMod val="95000"/>
                </a:sysClr>
              </a:solidFill>
              <a:ln w="19050">
                <a:solidFill>
                  <a:srgbClr val="4472C4"/>
                </a:solidFill>
              </a:ln>
              <a:effectLst/>
            </c:spPr>
            <c:extLst>
              <c:ext xmlns:c16="http://schemas.microsoft.com/office/drawing/2014/chart" uri="{C3380CC4-5D6E-409C-BE32-E72D297353CC}">
                <c16:uniqueId val="{00000003-4721-452E-AFA9-908A33230FB1}"/>
              </c:ext>
            </c:extLst>
          </c:dPt>
          <c:dPt>
            <c:idx val="1"/>
            <c:invertIfNegative val="0"/>
            <c:bubble3D val="0"/>
            <c:spPr>
              <a:solidFill>
                <a:sysClr val="window" lastClr="FFFFFF">
                  <a:lumMod val="95000"/>
                </a:sysClr>
              </a:solidFill>
              <a:ln w="19050">
                <a:solidFill>
                  <a:srgbClr val="4472C4"/>
                </a:solidFill>
              </a:ln>
              <a:effectLst/>
            </c:spPr>
            <c:extLst>
              <c:ext xmlns:c16="http://schemas.microsoft.com/office/drawing/2014/chart" uri="{C3380CC4-5D6E-409C-BE32-E72D297353CC}">
                <c16:uniqueId val="{00000004-4721-452E-AFA9-908A33230FB1}"/>
              </c:ext>
            </c:extLst>
          </c:dPt>
          <c:dPt>
            <c:idx val="2"/>
            <c:invertIfNegative val="0"/>
            <c:bubble3D val="0"/>
            <c:spPr>
              <a:solidFill>
                <a:sysClr val="window" lastClr="FFFFFF">
                  <a:lumMod val="95000"/>
                </a:sysClr>
              </a:solidFill>
              <a:ln w="19050">
                <a:solidFill>
                  <a:srgbClr val="4472C4"/>
                </a:solidFill>
              </a:ln>
              <a:effectLst/>
            </c:spPr>
            <c:extLst>
              <c:ext xmlns:c16="http://schemas.microsoft.com/office/drawing/2014/chart" uri="{C3380CC4-5D6E-409C-BE32-E72D297353CC}">
                <c16:uniqueId val="{00000005-4721-452E-AFA9-908A33230FB1}"/>
              </c:ext>
            </c:extLst>
          </c:dPt>
          <c:dPt>
            <c:idx val="5"/>
            <c:invertIfNegative val="0"/>
            <c:bubble3D val="0"/>
            <c:spPr>
              <a:solidFill>
                <a:sysClr val="window" lastClr="FFFFFF"/>
              </a:solidFill>
              <a:ln w="19050">
                <a:solidFill>
                  <a:srgbClr val="4472C4"/>
                </a:solidFill>
              </a:ln>
              <a:effectLst/>
            </c:spPr>
            <c:extLst>
              <c:ext xmlns:c16="http://schemas.microsoft.com/office/drawing/2014/chart" uri="{C3380CC4-5D6E-409C-BE32-E72D297353CC}">
                <c16:uniqueId val="{00000001-B8F4-40F1-A05B-8D8B46A7F916}"/>
              </c:ext>
            </c:extLst>
          </c:dPt>
          <c:dLbls>
            <c:dLbl>
              <c:idx val="10"/>
              <c:delete val="1"/>
              <c:extLst>
                <c:ext xmlns:c15="http://schemas.microsoft.com/office/drawing/2012/chart" uri="{CE6537A1-D6FC-4f65-9D91-7224C49458BB}"/>
                <c:ext xmlns:c16="http://schemas.microsoft.com/office/drawing/2014/chart" uri="{C3380CC4-5D6E-409C-BE32-E72D297353CC}">
                  <c16:uniqueId val="{00000002-4721-452E-AFA9-908A33230FB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'Almost Histogram'!$H$4:$H$13</c:f>
              <c:numCache>
                <c:formatCode>0.0</c:formatCode>
                <c:ptCount val="10"/>
                <c:pt idx="0">
                  <c:v>60.968868572062917</c:v>
                </c:pt>
                <c:pt idx="1">
                  <c:v>62.249999999999993</c:v>
                </c:pt>
                <c:pt idx="2">
                  <c:v>63.54999999999999</c:v>
                </c:pt>
                <c:pt idx="3">
                  <c:v>64.849999999999994</c:v>
                </c:pt>
                <c:pt idx="4">
                  <c:v>66.149999999999977</c:v>
                </c:pt>
                <c:pt idx="5">
                  <c:v>67.449999999999989</c:v>
                </c:pt>
                <c:pt idx="6">
                  <c:v>68.749999999999972</c:v>
                </c:pt>
                <c:pt idx="7">
                  <c:v>70.049999999999983</c:v>
                </c:pt>
                <c:pt idx="8">
                  <c:v>71.349999999999966</c:v>
                </c:pt>
                <c:pt idx="9">
                  <c:v>72.649999999999977</c:v>
                </c:pt>
              </c:numCache>
            </c:numRef>
          </c:cat>
          <c:val>
            <c:numRef>
              <c:f>'Histogram (Equal Bin Width)'!$F$4:$F$14</c:f>
              <c:numCache>
                <c:formatCode>0.00</c:formatCode>
                <c:ptCount val="11"/>
                <c:pt idx="0">
                  <c:v>6.15</c:v>
                </c:pt>
                <c:pt idx="1">
                  <c:v>10</c:v>
                </c:pt>
                <c:pt idx="2">
                  <c:v>13.08</c:v>
                </c:pt>
                <c:pt idx="3">
                  <c:v>14.62</c:v>
                </c:pt>
                <c:pt idx="4">
                  <c:v>13.08</c:v>
                </c:pt>
                <c:pt idx="5">
                  <c:v>15.38</c:v>
                </c:pt>
                <c:pt idx="6">
                  <c:v>11.54</c:v>
                </c:pt>
                <c:pt idx="7">
                  <c:v>7.69</c:v>
                </c:pt>
                <c:pt idx="8">
                  <c:v>0.77</c:v>
                </c:pt>
                <c:pt idx="9">
                  <c:v>1.54</c:v>
                </c:pt>
                <c:pt idx="10" formatCode="General">
                  <c:v>0</c:v>
                </c:pt>
              </c:numCache>
            </c:numRef>
          </c:val>
          <c:extLst>
            <c:ext xmlns:c16="http://schemas.microsoft.com/office/drawing/2014/chart" uri="{C3380CC4-5D6E-409C-BE32-E72D297353CC}">
              <c16:uniqueId val="{00000002-B8F4-40F1-A05B-8D8B46A7F916}"/>
            </c:ext>
          </c:extLst>
        </c:ser>
        <c:dLbls>
          <c:showLegendKey val="0"/>
          <c:showVal val="0"/>
          <c:showCatName val="0"/>
          <c:showSerName val="0"/>
          <c:showPercent val="0"/>
          <c:showBubbleSize val="0"/>
        </c:dLbls>
        <c:gapWidth val="0"/>
        <c:overlap val="-27"/>
        <c:axId val="517200312"/>
        <c:axId val="517200968"/>
      </c:barChart>
      <c:catAx>
        <c:axId val="517200312"/>
        <c:scaling>
          <c:orientation val="minMax"/>
        </c:scaling>
        <c:delete val="0"/>
        <c:axPos val="b"/>
        <c:numFmt formatCode="0.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200968"/>
        <c:crosses val="autoZero"/>
        <c:auto val="1"/>
        <c:lblAlgn val="ctr"/>
        <c:lblOffset val="100"/>
        <c:noMultiLvlLbl val="0"/>
      </c:catAx>
      <c:valAx>
        <c:axId val="517200968"/>
        <c:scaling>
          <c:orientation val="minMax"/>
        </c:scaling>
        <c:delete val="0"/>
        <c:axPos val="l"/>
        <c:majorGridlines>
          <c:spPr>
            <a:ln w="9525" cap="flat" cmpd="sng" algn="ctr">
              <a:noFill/>
              <a:round/>
            </a:ln>
            <a:effectLst/>
          </c:spPr>
        </c:majorGridlines>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200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281940</xdr:colOff>
      <xdr:row>1</xdr:row>
      <xdr:rowOff>45720</xdr:rowOff>
    </xdr:from>
    <xdr:to>
      <xdr:col>9</xdr:col>
      <xdr:colOff>274320</xdr:colOff>
      <xdr:row>15</xdr:row>
      <xdr:rowOff>60960</xdr:rowOff>
    </xdr:to>
    <xdr:graphicFrame macro="">
      <xdr:nvGraphicFramePr>
        <xdr:cNvPr id="2" name="Chart 1">
          <a:extLst>
            <a:ext uri="{FF2B5EF4-FFF2-40B4-BE49-F238E27FC236}">
              <a16:creationId xmlns:a16="http://schemas.microsoft.com/office/drawing/2014/main" id="{E7529E43-9D9B-44C3-9E68-CBFEA42DA9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190500</xdr:colOff>
      <xdr:row>1</xdr:row>
      <xdr:rowOff>68580</xdr:rowOff>
    </xdr:from>
    <xdr:to>
      <xdr:col>18</xdr:col>
      <xdr:colOff>144780</xdr:colOff>
      <xdr:row>15</xdr:row>
      <xdr:rowOff>76200</xdr:rowOff>
    </xdr:to>
    <xdr:graphicFrame macro="">
      <xdr:nvGraphicFramePr>
        <xdr:cNvPr id="3" name="Chart 2">
          <a:extLst>
            <a:ext uri="{FF2B5EF4-FFF2-40B4-BE49-F238E27FC236}">
              <a16:creationId xmlns:a16="http://schemas.microsoft.com/office/drawing/2014/main" id="{11A6FFA6-167E-435E-ADA4-37EC9C862F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9524</xdr:colOff>
      <xdr:row>10</xdr:row>
      <xdr:rowOff>47624</xdr:rowOff>
    </xdr:from>
    <xdr:to>
      <xdr:col>12</xdr:col>
      <xdr:colOff>590549</xdr:colOff>
      <xdr:row>15</xdr:row>
      <xdr:rowOff>161925</xdr:rowOff>
    </xdr:to>
    <xdr:graphicFrame macro="">
      <xdr:nvGraphicFramePr>
        <xdr:cNvPr id="2" name="Chart 1">
          <a:extLst>
            <a:ext uri="{FF2B5EF4-FFF2-40B4-BE49-F238E27FC236}">
              <a16:creationId xmlns:a16="http://schemas.microsoft.com/office/drawing/2014/main" id="{2D443993-1C90-A864-0946-D2F81CCFAA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1066800</xdr:colOff>
      <xdr:row>15</xdr:row>
      <xdr:rowOff>104773</xdr:rowOff>
    </xdr:from>
    <xdr:to>
      <xdr:col>8</xdr:col>
      <xdr:colOff>400053</xdr:colOff>
      <xdr:row>16</xdr:row>
      <xdr:rowOff>66675</xdr:rowOff>
    </xdr:to>
    <xdr:sp macro="" textlink="">
      <xdr:nvSpPr>
        <xdr:cNvPr id="3" name="Left Brace 2">
          <a:extLst>
            <a:ext uri="{FF2B5EF4-FFF2-40B4-BE49-F238E27FC236}">
              <a16:creationId xmlns:a16="http://schemas.microsoft.com/office/drawing/2014/main" id="{EE1EA1C3-693C-90D2-73C9-15F65A79F2DF}"/>
            </a:ext>
          </a:extLst>
        </xdr:cNvPr>
        <xdr:cNvSpPr/>
      </xdr:nvSpPr>
      <xdr:spPr>
        <a:xfrm rot="16200000">
          <a:off x="4471988" y="2757485"/>
          <a:ext cx="152402" cy="581028"/>
        </a:xfrm>
        <a:prstGeom prst="leftBrace">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lang="en-US" sz="1100" kern="1200"/>
        </a:p>
      </xdr:txBody>
    </xdr:sp>
    <xdr:clientData/>
  </xdr:twoCellAnchor>
  <xdr:twoCellAnchor>
    <xdr:from>
      <xdr:col>7</xdr:col>
      <xdr:colOff>1162050</xdr:colOff>
      <xdr:row>16</xdr:row>
      <xdr:rowOff>66675</xdr:rowOff>
    </xdr:from>
    <xdr:to>
      <xdr:col>8</xdr:col>
      <xdr:colOff>109539</xdr:colOff>
      <xdr:row>17</xdr:row>
      <xdr:rowOff>47625</xdr:rowOff>
    </xdr:to>
    <xdr:cxnSp macro="">
      <xdr:nvCxnSpPr>
        <xdr:cNvPr id="5" name="Straight Arrow Connector 4">
          <a:extLst>
            <a:ext uri="{FF2B5EF4-FFF2-40B4-BE49-F238E27FC236}">
              <a16:creationId xmlns:a16="http://schemas.microsoft.com/office/drawing/2014/main" id="{606DE90B-2964-DD6A-6255-FCFD364FE086}"/>
            </a:ext>
          </a:extLst>
        </xdr:cNvPr>
        <xdr:cNvCxnSpPr>
          <a:endCxn id="3" idx="1"/>
        </xdr:cNvCxnSpPr>
      </xdr:nvCxnSpPr>
      <xdr:spPr>
        <a:xfrm flipV="1">
          <a:off x="4352925" y="3124200"/>
          <a:ext cx="195264" cy="17145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15240</xdr:colOff>
      <xdr:row>0</xdr:row>
      <xdr:rowOff>179070</xdr:rowOff>
    </xdr:from>
    <xdr:to>
      <xdr:col>14</xdr:col>
      <xdr:colOff>320040</xdr:colOff>
      <xdr:row>15</xdr:row>
      <xdr:rowOff>179070</xdr:rowOff>
    </xdr:to>
    <xdr:graphicFrame macro="">
      <xdr:nvGraphicFramePr>
        <xdr:cNvPr id="2" name="Chart 1">
          <a:extLst>
            <a:ext uri="{FF2B5EF4-FFF2-40B4-BE49-F238E27FC236}">
              <a16:creationId xmlns:a16="http://schemas.microsoft.com/office/drawing/2014/main" id="{2CB36296-9916-4F68-8684-067FD10B05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22860</xdr:colOff>
      <xdr:row>16</xdr:row>
      <xdr:rowOff>11430</xdr:rowOff>
    </xdr:from>
    <xdr:to>
      <xdr:col>14</xdr:col>
      <xdr:colOff>327660</xdr:colOff>
      <xdr:row>31</xdr:row>
      <xdr:rowOff>11430</xdr:rowOff>
    </xdr:to>
    <xdr:graphicFrame macro="">
      <xdr:nvGraphicFramePr>
        <xdr:cNvPr id="3" name="Chart 2">
          <a:extLst>
            <a:ext uri="{FF2B5EF4-FFF2-40B4-BE49-F238E27FC236}">
              <a16:creationId xmlns:a16="http://schemas.microsoft.com/office/drawing/2014/main" id="{BFB458D7-5A02-4E7D-8F4D-1C5E3D7771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152400</xdr:colOff>
      <xdr:row>23</xdr:row>
      <xdr:rowOff>0</xdr:rowOff>
    </xdr:from>
    <xdr:to>
      <xdr:col>16</xdr:col>
      <xdr:colOff>247650</xdr:colOff>
      <xdr:row>27</xdr:row>
      <xdr:rowOff>9525</xdr:rowOff>
    </xdr:to>
    <xdr:cxnSp macro="">
      <xdr:nvCxnSpPr>
        <xdr:cNvPr id="9" name="Straight Arrow Connector 8">
          <a:extLst>
            <a:ext uri="{FF2B5EF4-FFF2-40B4-BE49-F238E27FC236}">
              <a16:creationId xmlns:a16="http://schemas.microsoft.com/office/drawing/2014/main" id="{95E8A649-9DF0-4860-BC13-727C60C35116}"/>
            </a:ext>
          </a:extLst>
        </xdr:cNvPr>
        <xdr:cNvCxnSpPr>
          <a:cxnSpLocks/>
        </xdr:cNvCxnSpPr>
      </xdr:nvCxnSpPr>
      <xdr:spPr>
        <a:xfrm flipH="1">
          <a:off x="6543675" y="4314825"/>
          <a:ext cx="3143250" cy="78105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335280</xdr:colOff>
      <xdr:row>15</xdr:row>
      <xdr:rowOff>68580</xdr:rowOff>
    </xdr:from>
    <xdr:to>
      <xdr:col>7</xdr:col>
      <xdr:colOff>556260</xdr:colOff>
      <xdr:row>20</xdr:row>
      <xdr:rowOff>30480</xdr:rowOff>
    </xdr:to>
    <xdr:cxnSp macro="">
      <xdr:nvCxnSpPr>
        <xdr:cNvPr id="10" name="Straight Arrow Connector 9">
          <a:extLst>
            <a:ext uri="{FF2B5EF4-FFF2-40B4-BE49-F238E27FC236}">
              <a16:creationId xmlns:a16="http://schemas.microsoft.com/office/drawing/2014/main" id="{2B4AC1E7-8B73-7B4D-9293-C1BA625FEE2D}"/>
            </a:ext>
          </a:extLst>
        </xdr:cNvPr>
        <xdr:cNvCxnSpPr/>
      </xdr:nvCxnSpPr>
      <xdr:spPr>
        <a:xfrm flipV="1">
          <a:off x="3048000" y="2819400"/>
          <a:ext cx="1569720" cy="89154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152400</xdr:colOff>
      <xdr:row>10</xdr:row>
      <xdr:rowOff>161925</xdr:rowOff>
    </xdr:from>
    <xdr:to>
      <xdr:col>15</xdr:col>
      <xdr:colOff>57150</xdr:colOff>
      <xdr:row>11</xdr:row>
      <xdr:rowOff>28575</xdr:rowOff>
    </xdr:to>
    <xdr:cxnSp macro="">
      <xdr:nvCxnSpPr>
        <xdr:cNvPr id="5" name="Straight Arrow Connector 4">
          <a:extLst>
            <a:ext uri="{FF2B5EF4-FFF2-40B4-BE49-F238E27FC236}">
              <a16:creationId xmlns:a16="http://schemas.microsoft.com/office/drawing/2014/main" id="{CC2C89DF-78FA-DF37-A6B3-62DE0589CC1F}"/>
            </a:ext>
          </a:extLst>
        </xdr:cNvPr>
        <xdr:cNvCxnSpPr/>
      </xdr:nvCxnSpPr>
      <xdr:spPr>
        <a:xfrm flipH="1">
          <a:off x="6543675" y="2066925"/>
          <a:ext cx="2343150" cy="47625"/>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7620</xdr:colOff>
      <xdr:row>0</xdr:row>
      <xdr:rowOff>179070</xdr:rowOff>
    </xdr:from>
    <xdr:to>
      <xdr:col>14</xdr:col>
      <xdr:colOff>312420</xdr:colOff>
      <xdr:row>15</xdr:row>
      <xdr:rowOff>179070</xdr:rowOff>
    </xdr:to>
    <xdr:graphicFrame macro="">
      <xdr:nvGraphicFramePr>
        <xdr:cNvPr id="2" name="Chart 1">
          <a:extLst>
            <a:ext uri="{FF2B5EF4-FFF2-40B4-BE49-F238E27FC236}">
              <a16:creationId xmlns:a16="http://schemas.microsoft.com/office/drawing/2014/main" id="{2107290C-E801-4D72-82AB-E0058E399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22860</xdr:colOff>
      <xdr:row>16</xdr:row>
      <xdr:rowOff>11430</xdr:rowOff>
    </xdr:from>
    <xdr:to>
      <xdr:col>14</xdr:col>
      <xdr:colOff>327660</xdr:colOff>
      <xdr:row>31</xdr:row>
      <xdr:rowOff>11430</xdr:rowOff>
    </xdr:to>
    <xdr:graphicFrame macro="">
      <xdr:nvGraphicFramePr>
        <xdr:cNvPr id="3" name="Chart 2">
          <a:extLst>
            <a:ext uri="{FF2B5EF4-FFF2-40B4-BE49-F238E27FC236}">
              <a16:creationId xmlns:a16="http://schemas.microsoft.com/office/drawing/2014/main" id="{189F3181-C964-4F34-9968-1EB412C6E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99060</xdr:colOff>
      <xdr:row>11</xdr:row>
      <xdr:rowOff>121920</xdr:rowOff>
    </xdr:from>
    <xdr:to>
      <xdr:col>16</xdr:col>
      <xdr:colOff>600075</xdr:colOff>
      <xdr:row>19</xdr:row>
      <xdr:rowOff>66675</xdr:rowOff>
    </xdr:to>
    <xdr:cxnSp macro="">
      <xdr:nvCxnSpPr>
        <xdr:cNvPr id="5" name="Straight Arrow Connector 4">
          <a:extLst>
            <a:ext uri="{FF2B5EF4-FFF2-40B4-BE49-F238E27FC236}">
              <a16:creationId xmlns:a16="http://schemas.microsoft.com/office/drawing/2014/main" id="{B2FE998F-D49D-4208-84D8-C7A9B92722B5}"/>
            </a:ext>
          </a:extLst>
        </xdr:cNvPr>
        <xdr:cNvCxnSpPr>
          <a:cxnSpLocks/>
        </xdr:cNvCxnSpPr>
      </xdr:nvCxnSpPr>
      <xdr:spPr>
        <a:xfrm flipH="1" flipV="1">
          <a:off x="6757035" y="2236470"/>
          <a:ext cx="3549015" cy="1411605"/>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104775</xdr:colOff>
      <xdr:row>26</xdr:row>
      <xdr:rowOff>38100</xdr:rowOff>
    </xdr:from>
    <xdr:to>
      <xdr:col>16</xdr:col>
      <xdr:colOff>581025</xdr:colOff>
      <xdr:row>26</xdr:row>
      <xdr:rowOff>161925</xdr:rowOff>
    </xdr:to>
    <xdr:cxnSp macro="">
      <xdr:nvCxnSpPr>
        <xdr:cNvPr id="6" name="Straight Arrow Connector 5">
          <a:extLst>
            <a:ext uri="{FF2B5EF4-FFF2-40B4-BE49-F238E27FC236}">
              <a16:creationId xmlns:a16="http://schemas.microsoft.com/office/drawing/2014/main" id="{B2CB54ED-4FCB-41C9-848F-74F741943A06}"/>
            </a:ext>
          </a:extLst>
        </xdr:cNvPr>
        <xdr:cNvCxnSpPr>
          <a:cxnSpLocks/>
        </xdr:cNvCxnSpPr>
      </xdr:nvCxnSpPr>
      <xdr:spPr>
        <a:xfrm flipH="1" flipV="1">
          <a:off x="6762750" y="4924425"/>
          <a:ext cx="3524250" cy="123825"/>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95250</xdr:colOff>
      <xdr:row>4</xdr:row>
      <xdr:rowOff>57150</xdr:rowOff>
    </xdr:from>
    <xdr:to>
      <xdr:col>16</xdr:col>
      <xdr:colOff>592455</xdr:colOff>
      <xdr:row>11</xdr:row>
      <xdr:rowOff>152400</xdr:rowOff>
    </xdr:to>
    <xdr:cxnSp macro="">
      <xdr:nvCxnSpPr>
        <xdr:cNvPr id="10" name="Straight Arrow Connector 9">
          <a:extLst>
            <a:ext uri="{FF2B5EF4-FFF2-40B4-BE49-F238E27FC236}">
              <a16:creationId xmlns:a16="http://schemas.microsoft.com/office/drawing/2014/main" id="{9899D6C9-76C4-0C34-26DF-3206FD729269}"/>
            </a:ext>
          </a:extLst>
        </xdr:cNvPr>
        <xdr:cNvCxnSpPr/>
      </xdr:nvCxnSpPr>
      <xdr:spPr>
        <a:xfrm flipH="1">
          <a:off x="6753225" y="819150"/>
          <a:ext cx="3545205" cy="144780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104775</xdr:colOff>
      <xdr:row>19</xdr:row>
      <xdr:rowOff>161925</xdr:rowOff>
    </xdr:from>
    <xdr:to>
      <xdr:col>17</xdr:col>
      <xdr:colOff>0</xdr:colOff>
      <xdr:row>26</xdr:row>
      <xdr:rowOff>19050</xdr:rowOff>
    </xdr:to>
    <xdr:cxnSp macro="">
      <xdr:nvCxnSpPr>
        <xdr:cNvPr id="12" name="Straight Arrow Connector 11">
          <a:extLst>
            <a:ext uri="{FF2B5EF4-FFF2-40B4-BE49-F238E27FC236}">
              <a16:creationId xmlns:a16="http://schemas.microsoft.com/office/drawing/2014/main" id="{A322A177-2EC1-3A28-5D1C-10D6FCB57597}"/>
            </a:ext>
          </a:extLst>
        </xdr:cNvPr>
        <xdr:cNvCxnSpPr/>
      </xdr:nvCxnSpPr>
      <xdr:spPr>
        <a:xfrm flipH="1">
          <a:off x="6762750" y="3743325"/>
          <a:ext cx="3552825" cy="116205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1</xdr:row>
      <xdr:rowOff>19050</xdr:rowOff>
    </xdr:from>
    <xdr:to>
      <xdr:col>14</xdr:col>
      <xdr:colOff>304800</xdr:colOff>
      <xdr:row>16</xdr:row>
      <xdr:rowOff>19050</xdr:rowOff>
    </xdr:to>
    <xdr:graphicFrame macro="">
      <xdr:nvGraphicFramePr>
        <xdr:cNvPr id="4" name="Chart 3">
          <a:extLst>
            <a:ext uri="{FF2B5EF4-FFF2-40B4-BE49-F238E27FC236}">
              <a16:creationId xmlns:a16="http://schemas.microsoft.com/office/drawing/2014/main" id="{E4197A93-2D89-4F98-9456-E8A1FD4942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335280</xdr:colOff>
      <xdr:row>1</xdr:row>
      <xdr:rowOff>22860</xdr:rowOff>
    </xdr:from>
    <xdr:to>
      <xdr:col>22</xdr:col>
      <xdr:colOff>30480</xdr:colOff>
      <xdr:row>16</xdr:row>
      <xdr:rowOff>22860</xdr:rowOff>
    </xdr:to>
    <xdr:graphicFrame macro="">
      <xdr:nvGraphicFramePr>
        <xdr:cNvPr id="8" name="Chart 7">
          <a:extLst>
            <a:ext uri="{FF2B5EF4-FFF2-40B4-BE49-F238E27FC236}">
              <a16:creationId xmlns:a16="http://schemas.microsoft.com/office/drawing/2014/main" id="{B8697CF4-E7C2-4B25-A637-403C86300C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loom.com/share/e3aa786071704597a5332c0b7c1a7941"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loom.com/share/f59a336dba754526aad66054e03d260c"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hyperlink" Target="https://www.loom.com/share/f59a336dba754526aad66054e03d260c"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hyperlink" Target="https://www.loom.com/share/f59a336dba754526aad66054e03d260c"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4.bin"/><Relationship Id="rId1" Type="http://schemas.openxmlformats.org/officeDocument/2006/relationships/hyperlink" Target="https://www.loom.com/share/f59a336dba754526aad66054e03d260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5E168-6754-4146-B5AB-173646F19CC8}">
  <dimension ref="B4:Q28"/>
  <sheetViews>
    <sheetView tabSelected="1" workbookViewId="0">
      <selection activeCell="Z14" sqref="Z14"/>
    </sheetView>
  </sheetViews>
  <sheetFormatPr defaultRowHeight="15" x14ac:dyDescent="0.25"/>
  <cols>
    <col min="1" max="1" width="3.140625" customWidth="1"/>
  </cols>
  <sheetData>
    <row r="4" spans="2:17" ht="14.45" customHeight="1" x14ac:dyDescent="0.25"/>
    <row r="5" spans="2:17" ht="14.45" customHeight="1" thickBot="1" x14ac:dyDescent="0.3"/>
    <row r="6" spans="2:17" ht="14.45" customHeight="1" x14ac:dyDescent="0.25">
      <c r="B6" s="51" t="s">
        <v>4</v>
      </c>
      <c r="C6" s="52"/>
      <c r="K6" s="51" t="s">
        <v>4</v>
      </c>
      <c r="L6" s="52"/>
    </row>
    <row r="7" spans="2:17" ht="14.45" customHeight="1" x14ac:dyDescent="0.25">
      <c r="B7" s="40" t="s">
        <v>0</v>
      </c>
      <c r="C7" s="41">
        <f ca="1">RANDBETWEEN(1,100)</f>
        <v>28</v>
      </c>
      <c r="K7" s="40" t="s">
        <v>1</v>
      </c>
      <c r="L7" s="41">
        <f ca="1">C8</f>
        <v>74</v>
      </c>
    </row>
    <row r="8" spans="2:17" x14ac:dyDescent="0.25">
      <c r="B8" s="40" t="s">
        <v>1</v>
      </c>
      <c r="C8" s="41">
        <f t="shared" ref="C8:C10" ca="1" si="0">RANDBETWEEN(1,100)</f>
        <v>74</v>
      </c>
      <c r="K8" s="40" t="s">
        <v>2</v>
      </c>
      <c r="L8" s="41">
        <f ca="1">C9</f>
        <v>46</v>
      </c>
    </row>
    <row r="9" spans="2:17" x14ac:dyDescent="0.25">
      <c r="B9" s="40" t="s">
        <v>2</v>
      </c>
      <c r="C9" s="41">
        <f t="shared" ca="1" si="0"/>
        <v>46</v>
      </c>
      <c r="K9" s="40" t="s">
        <v>3</v>
      </c>
      <c r="L9" s="41">
        <f ca="1">C10</f>
        <v>58</v>
      </c>
      <c r="N9" s="1"/>
      <c r="O9" s="1"/>
      <c r="P9" s="1"/>
      <c r="Q9" s="1"/>
    </row>
    <row r="10" spans="2:17" ht="15.75" thickBot="1" x14ac:dyDescent="0.3">
      <c r="B10" s="42" t="s">
        <v>3</v>
      </c>
      <c r="C10" s="43">
        <f t="shared" ca="1" si="0"/>
        <v>58</v>
      </c>
      <c r="K10" s="42" t="s">
        <v>5</v>
      </c>
      <c r="L10" s="43">
        <f ca="1">C7</f>
        <v>28</v>
      </c>
      <c r="N10" s="1"/>
      <c r="O10" s="1"/>
      <c r="P10" s="1"/>
      <c r="Q10" s="1"/>
    </row>
    <row r="11" spans="2:17" x14ac:dyDescent="0.25">
      <c r="L11" s="1"/>
      <c r="M11" s="1"/>
      <c r="N11" s="1"/>
      <c r="O11" s="1"/>
      <c r="P11" s="1"/>
      <c r="Q11" s="1"/>
    </row>
    <row r="12" spans="2:17" x14ac:dyDescent="0.25">
      <c r="L12" s="1"/>
      <c r="M12" s="1"/>
      <c r="N12" s="1"/>
      <c r="O12" s="1"/>
      <c r="P12" s="1"/>
      <c r="Q12" s="1"/>
    </row>
    <row r="13" spans="2:17" x14ac:dyDescent="0.25">
      <c r="L13" s="1"/>
      <c r="M13" s="1"/>
      <c r="P13" s="1"/>
      <c r="Q13" s="1"/>
    </row>
    <row r="14" spans="2:17" x14ac:dyDescent="0.25">
      <c r="L14" s="1"/>
      <c r="M14" s="1"/>
      <c r="P14" s="1"/>
      <c r="Q14" s="1"/>
    </row>
    <row r="17" spans="4:14" ht="15.75" thickBot="1" x14ac:dyDescent="0.3"/>
    <row r="18" spans="4:14" x14ac:dyDescent="0.25">
      <c r="I18" s="53" t="s">
        <v>25</v>
      </c>
      <c r="J18" s="54"/>
      <c r="K18" s="54"/>
      <c r="L18" s="54"/>
      <c r="M18" s="54"/>
      <c r="N18" s="55"/>
    </row>
    <row r="19" spans="4:14" x14ac:dyDescent="0.25">
      <c r="I19" s="56"/>
      <c r="J19" s="57"/>
      <c r="K19" s="57"/>
      <c r="L19" s="57"/>
      <c r="M19" s="57"/>
      <c r="N19" s="58"/>
    </row>
    <row r="20" spans="4:14" x14ac:dyDescent="0.25">
      <c r="I20" s="56"/>
      <c r="J20" s="57"/>
      <c r="K20" s="57"/>
      <c r="L20" s="57"/>
      <c r="M20" s="57"/>
      <c r="N20" s="58"/>
    </row>
    <row r="21" spans="4:14" x14ac:dyDescent="0.25">
      <c r="I21" s="56"/>
      <c r="J21" s="57"/>
      <c r="K21" s="57"/>
      <c r="L21" s="57"/>
      <c r="M21" s="57"/>
      <c r="N21" s="58"/>
    </row>
    <row r="22" spans="4:14" ht="15.75" thickBot="1" x14ac:dyDescent="0.3">
      <c r="I22" s="59"/>
      <c r="J22" s="60"/>
      <c r="K22" s="60"/>
      <c r="L22" s="60"/>
      <c r="M22" s="60"/>
      <c r="N22" s="61"/>
    </row>
    <row r="26" spans="4:14" ht="15.75" thickBot="1" x14ac:dyDescent="0.3"/>
    <row r="27" spans="4:14" ht="19.5" thickBot="1" x14ac:dyDescent="0.3">
      <c r="D27" s="62" t="s">
        <v>35</v>
      </c>
      <c r="E27" s="63"/>
      <c r="F27" s="63"/>
      <c r="G27" s="64"/>
    </row>
    <row r="28" spans="4:14" x14ac:dyDescent="0.25">
      <c r="D28" s="65" t="s">
        <v>36</v>
      </c>
      <c r="E28" s="65"/>
      <c r="F28" s="65"/>
      <c r="G28" s="65"/>
    </row>
  </sheetData>
  <mergeCells count="5">
    <mergeCell ref="B6:C6"/>
    <mergeCell ref="I18:N22"/>
    <mergeCell ref="K6:L6"/>
    <mergeCell ref="D27:G27"/>
    <mergeCell ref="D28:G28"/>
  </mergeCells>
  <hyperlinks>
    <hyperlink ref="D27:G27" r:id="rId1" display="Video For this." xr:uid="{9DD64F33-F283-4B2A-AE05-D02BBBDE5D2C}"/>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2D9D6-ABD1-4759-9496-4A2C73970AB1}">
  <dimension ref="B1:M123"/>
  <sheetViews>
    <sheetView workbookViewId="0">
      <selection activeCell="H29" sqref="H29:K29"/>
    </sheetView>
  </sheetViews>
  <sheetFormatPr defaultRowHeight="15" x14ac:dyDescent="0.25"/>
  <cols>
    <col min="1" max="1" width="1.85546875" customWidth="1"/>
    <col min="3" max="3" width="0.28515625" style="45" customWidth="1"/>
    <col min="8" max="8" width="18.7109375" customWidth="1"/>
    <col min="10" max="10" width="10.85546875" customWidth="1"/>
  </cols>
  <sheetData>
    <row r="1" spans="2:13" x14ac:dyDescent="0.25">
      <c r="B1" s="39" t="str">
        <f>'Histogram (Unequal Bin Widths)'!B2</f>
        <v>Heights</v>
      </c>
      <c r="C1" s="44" t="s">
        <v>27</v>
      </c>
    </row>
    <row r="2" spans="2:13" ht="15" customHeight="1" thickBot="1" x14ac:dyDescent="0.3">
      <c r="B2">
        <f ca="1">'Histogram (Unequal Bin Widths)'!B3</f>
        <v>66.242934483345223</v>
      </c>
      <c r="C2" s="45">
        <v>0.1</v>
      </c>
    </row>
    <row r="3" spans="2:13" ht="15" customHeight="1" x14ac:dyDescent="0.25">
      <c r="B3">
        <f ca="1">'Histogram (Unequal Bin Widths)'!B4</f>
        <v>64.733945362871481</v>
      </c>
      <c r="C3" s="45">
        <v>0.1</v>
      </c>
      <c r="F3" s="53" t="s">
        <v>28</v>
      </c>
      <c r="G3" s="54"/>
      <c r="H3" s="54"/>
      <c r="I3" s="54"/>
      <c r="J3" s="54"/>
      <c r="K3" s="54"/>
      <c r="L3" s="54"/>
      <c r="M3" s="55"/>
    </row>
    <row r="4" spans="2:13" ht="15" customHeight="1" x14ac:dyDescent="0.25">
      <c r="B4">
        <f ca="1">'Histogram (Unequal Bin Widths)'!B5</f>
        <v>66.20535912179669</v>
      </c>
      <c r="C4" s="45">
        <v>0.1</v>
      </c>
      <c r="F4" s="56"/>
      <c r="G4" s="57"/>
      <c r="H4" s="57"/>
      <c r="I4" s="57"/>
      <c r="J4" s="57"/>
      <c r="K4" s="57"/>
      <c r="L4" s="57"/>
      <c r="M4" s="58"/>
    </row>
    <row r="5" spans="2:13" ht="15" customHeight="1" x14ac:dyDescent="0.25">
      <c r="B5">
        <f ca="1">'Histogram (Unequal Bin Widths)'!B6</f>
        <v>70.566312528836036</v>
      </c>
      <c r="C5" s="45">
        <v>0.1</v>
      </c>
      <c r="F5" s="56"/>
      <c r="G5" s="57"/>
      <c r="H5" s="57"/>
      <c r="I5" s="57"/>
      <c r="J5" s="57"/>
      <c r="K5" s="57"/>
      <c r="L5" s="57"/>
      <c r="M5" s="58"/>
    </row>
    <row r="6" spans="2:13" ht="15" customHeight="1" x14ac:dyDescent="0.25">
      <c r="B6">
        <f ca="1">'Histogram (Unequal Bin Widths)'!B7</f>
        <v>63.835344305202476</v>
      </c>
      <c r="C6" s="45">
        <v>0.1</v>
      </c>
      <c r="F6" s="56"/>
      <c r="G6" s="57"/>
      <c r="H6" s="57"/>
      <c r="I6" s="57"/>
      <c r="J6" s="57"/>
      <c r="K6" s="57"/>
      <c r="L6" s="57"/>
      <c r="M6" s="58"/>
    </row>
    <row r="7" spans="2:13" ht="15" customHeight="1" x14ac:dyDescent="0.25">
      <c r="B7">
        <f ca="1">'Histogram (Unequal Bin Widths)'!B8</f>
        <v>68.12539793235554</v>
      </c>
      <c r="C7" s="45">
        <v>0.1</v>
      </c>
      <c r="F7" s="56"/>
      <c r="G7" s="57"/>
      <c r="H7" s="57"/>
      <c r="I7" s="57"/>
      <c r="J7" s="57"/>
      <c r="K7" s="57"/>
      <c r="L7" s="57"/>
      <c r="M7" s="58"/>
    </row>
    <row r="8" spans="2:13" ht="15" customHeight="1" x14ac:dyDescent="0.25">
      <c r="B8">
        <f ca="1">'Histogram (Unequal Bin Widths)'!B9</f>
        <v>70.406940346506488</v>
      </c>
      <c r="C8" s="45">
        <v>0.1</v>
      </c>
      <c r="F8" s="56"/>
      <c r="G8" s="57"/>
      <c r="H8" s="57"/>
      <c r="I8" s="57"/>
      <c r="J8" s="57"/>
      <c r="K8" s="57"/>
      <c r="L8" s="57"/>
      <c r="M8" s="58"/>
    </row>
    <row r="9" spans="2:13" ht="15" customHeight="1" x14ac:dyDescent="0.25">
      <c r="B9">
        <f ca="1">'Histogram (Unequal Bin Widths)'!B10</f>
        <v>68.758300257521469</v>
      </c>
      <c r="C9" s="45">
        <v>0.1</v>
      </c>
      <c r="F9" s="56"/>
      <c r="G9" s="57"/>
      <c r="H9" s="57"/>
      <c r="I9" s="57"/>
      <c r="J9" s="57"/>
      <c r="K9" s="57"/>
      <c r="L9" s="57"/>
      <c r="M9" s="58"/>
    </row>
    <row r="10" spans="2:13" ht="15.75" customHeight="1" thickBot="1" x14ac:dyDescent="0.3">
      <c r="B10">
        <f ca="1">'Histogram (Unequal Bin Widths)'!B11</f>
        <v>68.052733629157672</v>
      </c>
      <c r="C10" s="45">
        <v>0.1</v>
      </c>
      <c r="F10" s="59"/>
      <c r="G10" s="60"/>
      <c r="H10" s="60"/>
      <c r="I10" s="60"/>
      <c r="J10" s="60"/>
      <c r="K10" s="60"/>
      <c r="L10" s="60"/>
      <c r="M10" s="61"/>
    </row>
    <row r="11" spans="2:13" x14ac:dyDescent="0.25">
      <c r="B11">
        <f ca="1">'Histogram (Unequal Bin Widths)'!B12</f>
        <v>60.337737144125832</v>
      </c>
      <c r="C11" s="45">
        <v>0.1</v>
      </c>
    </row>
    <row r="12" spans="2:13" x14ac:dyDescent="0.25">
      <c r="B12">
        <f ca="1">'Histogram (Unequal Bin Widths)'!B13</f>
        <v>66.232521294311383</v>
      </c>
      <c r="C12" s="45">
        <v>0.1</v>
      </c>
    </row>
    <row r="13" spans="2:13" x14ac:dyDescent="0.25">
      <c r="B13">
        <f ca="1">'Histogram (Unequal Bin Widths)'!B14</f>
        <v>66.244666483025384</v>
      </c>
      <c r="C13" s="45">
        <v>0.1</v>
      </c>
    </row>
    <row r="14" spans="2:13" x14ac:dyDescent="0.25">
      <c r="B14">
        <f ca="1">'Histogram (Unequal Bin Widths)'!B15</f>
        <v>72.926828735755066</v>
      </c>
      <c r="C14" s="45">
        <v>0.1</v>
      </c>
    </row>
    <row r="15" spans="2:13" x14ac:dyDescent="0.25">
      <c r="B15">
        <f ca="1">'Histogram (Unequal Bin Widths)'!B16</f>
        <v>70.680988386002909</v>
      </c>
      <c r="C15" s="45">
        <v>0.1</v>
      </c>
    </row>
    <row r="16" spans="2:13" x14ac:dyDescent="0.25">
      <c r="B16">
        <f ca="1">'Histogram (Unequal Bin Widths)'!B17</f>
        <v>62.879952427261607</v>
      </c>
      <c r="C16" s="45">
        <v>0.1</v>
      </c>
    </row>
    <row r="17" spans="2:13" x14ac:dyDescent="0.25">
      <c r="B17">
        <f ca="1">'Histogram (Unequal Bin Widths)'!B18</f>
        <v>66.520814865113479</v>
      </c>
      <c r="C17" s="45">
        <v>0.1</v>
      </c>
    </row>
    <row r="18" spans="2:13" x14ac:dyDescent="0.25">
      <c r="B18">
        <f ca="1">'Histogram (Unequal Bin Widths)'!B19</f>
        <v>65.799904367928704</v>
      </c>
      <c r="C18" s="45">
        <v>0.1</v>
      </c>
      <c r="F18" s="66" t="s">
        <v>29</v>
      </c>
      <c r="G18" s="66"/>
      <c r="H18" s="66"/>
      <c r="I18" s="37">
        <f ca="1">COUNTIFS(B:B,"&lt;=68",B:B,"&gt;66")</f>
        <v>29</v>
      </c>
      <c r="J18" s="46"/>
      <c r="K18" s="46"/>
    </row>
    <row r="19" spans="2:13" x14ac:dyDescent="0.25">
      <c r="B19">
        <f ca="1">'Histogram (Unequal Bin Widths)'!B20</f>
        <v>63.813916334643544</v>
      </c>
      <c r="C19" s="45">
        <v>0.1</v>
      </c>
      <c r="F19" s="66" t="s">
        <v>30</v>
      </c>
      <c r="G19" s="66"/>
      <c r="H19" s="66"/>
      <c r="I19" s="12">
        <f ca="1">I18/COUNT(B:B)</f>
        <v>0.23770491803278687</v>
      </c>
      <c r="J19" s="46"/>
      <c r="K19" s="46"/>
    </row>
    <row r="20" spans="2:13" x14ac:dyDescent="0.25">
      <c r="B20">
        <f ca="1">'Histogram (Unequal Bin Widths)'!B21</f>
        <v>64.136402301466291</v>
      </c>
      <c r="C20" s="45">
        <v>0.1</v>
      </c>
      <c r="F20" s="66" t="s">
        <v>31</v>
      </c>
      <c r="G20" s="66"/>
      <c r="H20" s="66"/>
      <c r="I20" s="37">
        <f ca="1">I18/2</f>
        <v>14.5</v>
      </c>
    </row>
    <row r="21" spans="2:13" x14ac:dyDescent="0.25">
      <c r="B21">
        <f ca="1">'Histogram (Unequal Bin Widths)'!B22</f>
        <v>62.786435009059964</v>
      </c>
      <c r="C21" s="45">
        <v>0.1</v>
      </c>
      <c r="F21" s="66" t="s">
        <v>32</v>
      </c>
      <c r="G21" s="66"/>
      <c r="H21" s="66"/>
      <c r="I21" s="12">
        <f ca="1">I19/2</f>
        <v>0.11885245901639344</v>
      </c>
    </row>
    <row r="22" spans="2:13" ht="15.75" thickBot="1" x14ac:dyDescent="0.3">
      <c r="B22">
        <f ca="1">'Histogram (Unequal Bin Widths)'!B23</f>
        <v>69.568648923401881</v>
      </c>
      <c r="C22" s="45">
        <v>0.1</v>
      </c>
    </row>
    <row r="23" spans="2:13" x14ac:dyDescent="0.25">
      <c r="B23">
        <f ca="1">'Histogram (Unequal Bin Widths)'!B24</f>
        <v>64.317414586693502</v>
      </c>
      <c r="C23" s="45">
        <v>0.1</v>
      </c>
      <c r="F23" s="53" t="str">
        <f ca="1">"The density is "&amp;I20&amp;" people (data points) per inch on the interval from 66 to 68 inches of height. While the relative density is "&amp;ROUND(I21*100,2)&amp;"% of the people per inch of height on the same interval."</f>
        <v>The density is 14.5 people (data points) per inch on the interval from 66 to 68 inches of height. While the relative density is 11.89% of the people per inch of height on the same interval.</v>
      </c>
      <c r="G23" s="54"/>
      <c r="H23" s="54"/>
      <c r="I23" s="54"/>
      <c r="J23" s="54"/>
      <c r="K23" s="54"/>
      <c r="L23" s="54"/>
      <c r="M23" s="55"/>
    </row>
    <row r="24" spans="2:13" x14ac:dyDescent="0.25">
      <c r="B24">
        <f ca="1">'Histogram (Unequal Bin Widths)'!B25</f>
        <v>66.061558501820087</v>
      </c>
      <c r="C24" s="45">
        <v>0.1</v>
      </c>
      <c r="F24" s="56"/>
      <c r="G24" s="57"/>
      <c r="H24" s="57"/>
      <c r="I24" s="57"/>
      <c r="J24" s="57"/>
      <c r="K24" s="57"/>
      <c r="L24" s="57"/>
      <c r="M24" s="58"/>
    </row>
    <row r="25" spans="2:13" x14ac:dyDescent="0.25">
      <c r="B25">
        <f ca="1">'Histogram (Unequal Bin Widths)'!B26</f>
        <v>65.765903101851904</v>
      </c>
      <c r="C25" s="45">
        <v>0.1</v>
      </c>
      <c r="F25" s="56"/>
      <c r="G25" s="57"/>
      <c r="H25" s="57"/>
      <c r="I25" s="57"/>
      <c r="J25" s="57"/>
      <c r="K25" s="57"/>
      <c r="L25" s="57"/>
      <c r="M25" s="58"/>
    </row>
    <row r="26" spans="2:13" ht="15.75" thickBot="1" x14ac:dyDescent="0.3">
      <c r="B26">
        <f ca="1">'Histogram (Unequal Bin Widths)'!B27</f>
        <v>66.820491715120312</v>
      </c>
      <c r="C26" s="45">
        <v>0.1</v>
      </c>
      <c r="F26" s="59"/>
      <c r="G26" s="60"/>
      <c r="H26" s="60"/>
      <c r="I26" s="60"/>
      <c r="J26" s="60"/>
      <c r="K26" s="60"/>
      <c r="L26" s="60"/>
      <c r="M26" s="61"/>
    </row>
    <row r="27" spans="2:13" x14ac:dyDescent="0.25">
      <c r="B27">
        <f ca="1">'Histogram (Unequal Bin Widths)'!B28</f>
        <v>68.263157362157685</v>
      </c>
      <c r="C27" s="45">
        <v>0.1</v>
      </c>
    </row>
    <row r="28" spans="2:13" ht="15.75" thickBot="1" x14ac:dyDescent="0.3">
      <c r="B28">
        <f ca="1">'Histogram (Unequal Bin Widths)'!B29</f>
        <v>63.751664011456583</v>
      </c>
      <c r="C28" s="45">
        <v>0.1</v>
      </c>
    </row>
    <row r="29" spans="2:13" ht="16.5" thickBot="1" x14ac:dyDescent="0.3">
      <c r="B29">
        <f ca="1">'Histogram (Unequal Bin Widths)'!B30</f>
        <v>61.139526115604589</v>
      </c>
      <c r="C29" s="45">
        <v>0.1</v>
      </c>
      <c r="H29" s="82" t="s">
        <v>35</v>
      </c>
      <c r="I29" s="83"/>
      <c r="J29" s="83"/>
      <c r="K29" s="84"/>
    </row>
    <row r="30" spans="2:13" x14ac:dyDescent="0.25">
      <c r="B30">
        <f ca="1">'Histogram (Unequal Bin Widths)'!B31</f>
        <v>61.832624825508717</v>
      </c>
      <c r="C30" s="45">
        <v>0.1</v>
      </c>
      <c r="H30" s="65" t="s">
        <v>36</v>
      </c>
      <c r="I30" s="65"/>
      <c r="J30" s="65"/>
      <c r="K30" s="65"/>
    </row>
    <row r="31" spans="2:13" x14ac:dyDescent="0.25">
      <c r="B31">
        <f ca="1">'Histogram (Unequal Bin Widths)'!B32</f>
        <v>64.458155759942073</v>
      </c>
      <c r="C31" s="45">
        <v>0.1</v>
      </c>
    </row>
    <row r="32" spans="2:13" x14ac:dyDescent="0.25">
      <c r="B32">
        <f ca="1">'Histogram (Unequal Bin Widths)'!B33</f>
        <v>71.43623843106856</v>
      </c>
      <c r="C32" s="45">
        <v>0.1</v>
      </c>
    </row>
    <row r="33" spans="2:3" x14ac:dyDescent="0.25">
      <c r="B33">
        <f ca="1">'Histogram (Unequal Bin Widths)'!B34</f>
        <v>70.380261068021241</v>
      </c>
      <c r="C33" s="45">
        <v>0.1</v>
      </c>
    </row>
    <row r="34" spans="2:3" x14ac:dyDescent="0.25">
      <c r="B34">
        <f ca="1">'Histogram (Unequal Bin Widths)'!B35</f>
        <v>67.958562513892531</v>
      </c>
      <c r="C34" s="45">
        <v>0.1</v>
      </c>
    </row>
    <row r="35" spans="2:3" x14ac:dyDescent="0.25">
      <c r="B35">
        <f ca="1">'Histogram (Unequal Bin Widths)'!B36</f>
        <v>67.050559490969547</v>
      </c>
      <c r="C35" s="45">
        <v>0.1</v>
      </c>
    </row>
    <row r="36" spans="2:3" x14ac:dyDescent="0.25">
      <c r="B36">
        <f ca="1">'Histogram (Unequal Bin Widths)'!B37</f>
        <v>67.724337352905977</v>
      </c>
      <c r="C36" s="45">
        <v>0.1</v>
      </c>
    </row>
    <row r="37" spans="2:3" x14ac:dyDescent="0.25">
      <c r="B37">
        <f ca="1">'Histogram (Unequal Bin Widths)'!B38</f>
        <v>62.770845880537131</v>
      </c>
      <c r="C37" s="45">
        <v>0.1</v>
      </c>
    </row>
    <row r="38" spans="2:3" x14ac:dyDescent="0.25">
      <c r="B38">
        <f ca="1">'Histogram (Unequal Bin Widths)'!B39</f>
        <v>62.293042269721461</v>
      </c>
      <c r="C38" s="45">
        <v>0.1</v>
      </c>
    </row>
    <row r="39" spans="2:3" x14ac:dyDescent="0.25">
      <c r="B39">
        <f ca="1">'Histogram (Unequal Bin Widths)'!B40</f>
        <v>65.536563806302993</v>
      </c>
      <c r="C39" s="45">
        <v>0.1</v>
      </c>
    </row>
    <row r="40" spans="2:3" x14ac:dyDescent="0.25">
      <c r="B40">
        <f ca="1">'Histogram (Unequal Bin Widths)'!B41</f>
        <v>67.207745864465835</v>
      </c>
      <c r="C40" s="45">
        <v>0.1</v>
      </c>
    </row>
    <row r="41" spans="2:3" x14ac:dyDescent="0.25">
      <c r="B41">
        <f ca="1">'Histogram (Unequal Bin Widths)'!B42</f>
        <v>62.547370272693669</v>
      </c>
      <c r="C41" s="45">
        <v>0.1</v>
      </c>
    </row>
    <row r="42" spans="2:3" x14ac:dyDescent="0.25">
      <c r="B42">
        <f ca="1">'Histogram (Unequal Bin Widths)'!B43</f>
        <v>69.392140184375819</v>
      </c>
      <c r="C42" s="45">
        <v>0.1</v>
      </c>
    </row>
    <row r="43" spans="2:3" x14ac:dyDescent="0.25">
      <c r="B43">
        <f ca="1">'Histogram (Unequal Bin Widths)'!B44</f>
        <v>67.729854637108858</v>
      </c>
      <c r="C43" s="45">
        <v>0.1</v>
      </c>
    </row>
    <row r="44" spans="2:3" x14ac:dyDescent="0.25">
      <c r="B44">
        <f ca="1">'Histogram (Unequal Bin Widths)'!B45</f>
        <v>66.083867300281312</v>
      </c>
      <c r="C44" s="45">
        <v>0.1</v>
      </c>
    </row>
    <row r="45" spans="2:3" x14ac:dyDescent="0.25">
      <c r="B45">
        <f ca="1">'Histogram (Unequal Bin Widths)'!B46</f>
        <v>67.317733735635542</v>
      </c>
      <c r="C45" s="45">
        <v>0.1</v>
      </c>
    </row>
    <row r="46" spans="2:3" x14ac:dyDescent="0.25">
      <c r="B46">
        <f ca="1">'Histogram (Unequal Bin Widths)'!B47</f>
        <v>66.770176536641756</v>
      </c>
      <c r="C46" s="45">
        <v>0.1</v>
      </c>
    </row>
    <row r="47" spans="2:3" x14ac:dyDescent="0.25">
      <c r="B47">
        <f ca="1">'Histogram (Unequal Bin Widths)'!B48</f>
        <v>65.802601715232484</v>
      </c>
      <c r="C47" s="45">
        <v>0.1</v>
      </c>
    </row>
    <row r="48" spans="2:3" x14ac:dyDescent="0.25">
      <c r="B48">
        <f ca="1">'Histogram (Unequal Bin Widths)'!B49</f>
        <v>60.686868681992188</v>
      </c>
      <c r="C48" s="45">
        <v>0.1</v>
      </c>
    </row>
    <row r="49" spans="2:3" x14ac:dyDescent="0.25">
      <c r="B49">
        <f ca="1">'Histogram (Unequal Bin Widths)'!B50</f>
        <v>70.631436966120845</v>
      </c>
      <c r="C49" s="45">
        <v>0.1</v>
      </c>
    </row>
    <row r="50" spans="2:3" x14ac:dyDescent="0.25">
      <c r="B50">
        <f ca="1">'Histogram (Unequal Bin Widths)'!B51</f>
        <v>67.822231309414491</v>
      </c>
      <c r="C50" s="45">
        <v>0.1</v>
      </c>
    </row>
    <row r="51" spans="2:3" x14ac:dyDescent="0.25">
      <c r="B51">
        <f ca="1">'Histogram (Unequal Bin Widths)'!B52</f>
        <v>65.451083517140262</v>
      </c>
      <c r="C51" s="45">
        <v>0.1</v>
      </c>
    </row>
    <row r="52" spans="2:3" x14ac:dyDescent="0.25">
      <c r="B52">
        <f ca="1">'Histogram (Unequal Bin Widths)'!B53</f>
        <v>69.889156638810135</v>
      </c>
      <c r="C52" s="45">
        <v>0.1</v>
      </c>
    </row>
    <row r="53" spans="2:3" x14ac:dyDescent="0.25">
      <c r="B53">
        <f ca="1">'Histogram (Unequal Bin Widths)'!B54</f>
        <v>62.575792941732757</v>
      </c>
      <c r="C53" s="45">
        <v>0.1</v>
      </c>
    </row>
    <row r="54" spans="2:3" x14ac:dyDescent="0.25">
      <c r="B54">
        <f ca="1">'Histogram (Unequal Bin Widths)'!B55</f>
        <v>68.790168500099284</v>
      </c>
      <c r="C54" s="45">
        <v>0.1</v>
      </c>
    </row>
    <row r="55" spans="2:3" x14ac:dyDescent="0.25">
      <c r="B55">
        <f ca="1">'Histogram (Unequal Bin Widths)'!B56</f>
        <v>65.195396415878776</v>
      </c>
      <c r="C55" s="45">
        <v>0.1</v>
      </c>
    </row>
    <row r="56" spans="2:3" x14ac:dyDescent="0.25">
      <c r="B56">
        <f ca="1">'Histogram (Unequal Bin Widths)'!B57</f>
        <v>67.083526236133267</v>
      </c>
      <c r="C56" s="45">
        <v>0.1</v>
      </c>
    </row>
    <row r="57" spans="2:3" x14ac:dyDescent="0.25">
      <c r="B57">
        <f ca="1">'Histogram (Unequal Bin Widths)'!B58</f>
        <v>69.226471004443937</v>
      </c>
      <c r="C57" s="45">
        <v>0.1</v>
      </c>
    </row>
    <row r="58" spans="2:3" x14ac:dyDescent="0.25">
      <c r="B58">
        <f ca="1">'Histogram (Unequal Bin Widths)'!B59</f>
        <v>61.030827750936695</v>
      </c>
      <c r="C58" s="45">
        <v>0.1</v>
      </c>
    </row>
    <row r="59" spans="2:3" x14ac:dyDescent="0.25">
      <c r="B59">
        <f ca="1">'Histogram (Unequal Bin Widths)'!B60</f>
        <v>63.986155098356939</v>
      </c>
      <c r="C59" s="45">
        <v>0.1</v>
      </c>
    </row>
    <row r="60" spans="2:3" x14ac:dyDescent="0.25">
      <c r="B60">
        <f ca="1">'Histogram (Unequal Bin Widths)'!B61</f>
        <v>63.699223418430471</v>
      </c>
      <c r="C60" s="45">
        <v>0.1</v>
      </c>
    </row>
    <row r="61" spans="2:3" x14ac:dyDescent="0.25">
      <c r="B61">
        <f ca="1">'Histogram (Unequal Bin Widths)'!B62</f>
        <v>60.524657455882306</v>
      </c>
      <c r="C61" s="45">
        <v>0.1</v>
      </c>
    </row>
    <row r="62" spans="2:3" x14ac:dyDescent="0.25">
      <c r="B62">
        <f ca="1">'Histogram (Unequal Bin Widths)'!B63</f>
        <v>63.690036126164046</v>
      </c>
      <c r="C62" s="45">
        <v>0.1</v>
      </c>
    </row>
    <row r="63" spans="2:3" x14ac:dyDescent="0.25">
      <c r="B63">
        <f ca="1">'Histogram (Unequal Bin Widths)'!B64</f>
        <v>68.393102668615157</v>
      </c>
      <c r="C63" s="45">
        <v>0.1</v>
      </c>
    </row>
    <row r="64" spans="2:3" x14ac:dyDescent="0.25">
      <c r="B64">
        <f ca="1">'Histogram (Unequal Bin Widths)'!B65</f>
        <v>72.965816474382478</v>
      </c>
      <c r="C64" s="45">
        <v>0.1</v>
      </c>
    </row>
    <row r="65" spans="2:3" x14ac:dyDescent="0.25">
      <c r="B65">
        <f ca="1">'Histogram (Unequal Bin Widths)'!B66</f>
        <v>69.132891507536783</v>
      </c>
      <c r="C65" s="45">
        <v>0.1</v>
      </c>
    </row>
    <row r="66" spans="2:3" x14ac:dyDescent="0.25">
      <c r="B66">
        <f ca="1">'Histogram (Unequal Bin Widths)'!B67</f>
        <v>64.560732642842893</v>
      </c>
      <c r="C66" s="45">
        <v>0.1</v>
      </c>
    </row>
    <row r="67" spans="2:3" x14ac:dyDescent="0.25">
      <c r="B67">
        <f ca="1">'Histogram (Unequal Bin Widths)'!B68</f>
        <v>65.06553956316084</v>
      </c>
      <c r="C67" s="45">
        <v>0.1</v>
      </c>
    </row>
    <row r="68" spans="2:3" x14ac:dyDescent="0.25">
      <c r="B68">
        <f ca="1">'Histogram (Unequal Bin Widths)'!B69</f>
        <v>67.584435173268702</v>
      </c>
      <c r="C68" s="45">
        <v>0.1</v>
      </c>
    </row>
    <row r="69" spans="2:3" x14ac:dyDescent="0.25">
      <c r="B69">
        <f ca="1">'Histogram (Unequal Bin Widths)'!B70</f>
        <v>63.388505838246573</v>
      </c>
      <c r="C69" s="45">
        <v>0.1</v>
      </c>
    </row>
    <row r="70" spans="2:3" x14ac:dyDescent="0.25">
      <c r="B70">
        <f ca="1">'Histogram (Unequal Bin Widths)'!B71</f>
        <v>68.826396011148987</v>
      </c>
      <c r="C70" s="45">
        <v>0.1</v>
      </c>
    </row>
    <row r="71" spans="2:3" x14ac:dyDescent="0.25">
      <c r="B71">
        <f ca="1">'Histogram (Unequal Bin Widths)'!B72</f>
        <v>66.901953310334136</v>
      </c>
      <c r="C71" s="45">
        <v>0.1</v>
      </c>
    </row>
    <row r="72" spans="2:3" x14ac:dyDescent="0.25">
      <c r="B72">
        <f ca="1">'Histogram (Unequal Bin Widths)'!B73</f>
        <v>66.847864430089132</v>
      </c>
      <c r="C72" s="45">
        <v>0.1</v>
      </c>
    </row>
    <row r="73" spans="2:3" x14ac:dyDescent="0.25">
      <c r="B73">
        <f ca="1">'Histogram (Unequal Bin Widths)'!B74</f>
        <v>63.959480931125611</v>
      </c>
      <c r="C73" s="45">
        <v>0.1</v>
      </c>
    </row>
    <row r="74" spans="2:3" x14ac:dyDescent="0.25">
      <c r="B74">
        <f ca="1">'Histogram (Unequal Bin Widths)'!B75</f>
        <v>67.00248895781742</v>
      </c>
      <c r="C74" s="45">
        <v>0.1</v>
      </c>
    </row>
    <row r="75" spans="2:3" x14ac:dyDescent="0.25">
      <c r="B75">
        <f ca="1">'Histogram (Unequal Bin Widths)'!B76</f>
        <v>61.846276541973559</v>
      </c>
      <c r="C75" s="45">
        <v>0.1</v>
      </c>
    </row>
    <row r="76" spans="2:3" x14ac:dyDescent="0.25">
      <c r="B76">
        <f ca="1">'Histogram (Unequal Bin Widths)'!B77</f>
        <v>68.749918497984808</v>
      </c>
      <c r="C76" s="45">
        <v>0.1</v>
      </c>
    </row>
    <row r="77" spans="2:3" x14ac:dyDescent="0.25">
      <c r="B77">
        <f ca="1">'Histogram (Unequal Bin Widths)'!B78</f>
        <v>67.412689056446894</v>
      </c>
      <c r="C77" s="45">
        <v>0.1</v>
      </c>
    </row>
    <row r="78" spans="2:3" x14ac:dyDescent="0.25">
      <c r="B78">
        <f ca="1">'Histogram (Unequal Bin Widths)'!B79</f>
        <v>68.295978068811891</v>
      </c>
      <c r="C78" s="45">
        <v>0.1</v>
      </c>
    </row>
    <row r="79" spans="2:3" x14ac:dyDescent="0.25">
      <c r="B79">
        <f ca="1">'Histogram (Unequal Bin Widths)'!B80</f>
        <v>63.508756989083238</v>
      </c>
      <c r="C79" s="45">
        <v>0.1</v>
      </c>
    </row>
    <row r="80" spans="2:3" x14ac:dyDescent="0.25">
      <c r="B80">
        <f ca="1">'Histogram (Unequal Bin Widths)'!B81</f>
        <v>61.360217869183117</v>
      </c>
      <c r="C80" s="45">
        <v>0.1</v>
      </c>
    </row>
    <row r="81" spans="2:3" x14ac:dyDescent="0.25">
      <c r="B81">
        <f ca="1">'Histogram (Unequal Bin Widths)'!B82</f>
        <v>70.181761015750197</v>
      </c>
      <c r="C81" s="45">
        <v>0.1</v>
      </c>
    </row>
    <row r="82" spans="2:3" x14ac:dyDescent="0.25">
      <c r="B82">
        <f ca="1">'Histogram (Unequal Bin Widths)'!B83</f>
        <v>67.717765900309033</v>
      </c>
      <c r="C82" s="45">
        <v>0.1</v>
      </c>
    </row>
    <row r="83" spans="2:3" x14ac:dyDescent="0.25">
      <c r="B83">
        <f ca="1">'Histogram (Unequal Bin Widths)'!B84</f>
        <v>66.949422645155238</v>
      </c>
      <c r="C83" s="45">
        <v>0.1</v>
      </c>
    </row>
    <row r="84" spans="2:3" x14ac:dyDescent="0.25">
      <c r="B84">
        <f ca="1">'Histogram (Unequal Bin Widths)'!B85</f>
        <v>67.580467316864755</v>
      </c>
      <c r="C84" s="45">
        <v>0.1</v>
      </c>
    </row>
    <row r="85" spans="2:3" x14ac:dyDescent="0.25">
      <c r="B85">
        <f ca="1">'Histogram (Unequal Bin Widths)'!B86</f>
        <v>65.615480189559364</v>
      </c>
      <c r="C85" s="45">
        <v>0.1</v>
      </c>
    </row>
    <row r="86" spans="2:3" x14ac:dyDescent="0.25">
      <c r="B86">
        <f ca="1">'Histogram (Unequal Bin Widths)'!B87</f>
        <v>64.663874146530233</v>
      </c>
      <c r="C86" s="45">
        <v>0.1</v>
      </c>
    </row>
    <row r="87" spans="2:3" x14ac:dyDescent="0.25">
      <c r="B87">
        <f ca="1">'Histogram (Unequal Bin Widths)'!B88</f>
        <v>63.554668904705267</v>
      </c>
      <c r="C87" s="45">
        <v>0.1</v>
      </c>
    </row>
    <row r="88" spans="2:3" x14ac:dyDescent="0.25">
      <c r="B88">
        <f ca="1">'Histogram (Unequal Bin Widths)'!B89</f>
        <v>64.212661108492156</v>
      </c>
      <c r="C88" s="45">
        <v>0.1</v>
      </c>
    </row>
    <row r="89" spans="2:3" x14ac:dyDescent="0.25">
      <c r="B89">
        <f ca="1">'Histogram (Unequal Bin Widths)'!B90</f>
        <v>63.582420345152578</v>
      </c>
      <c r="C89" s="45">
        <v>0.1</v>
      </c>
    </row>
    <row r="90" spans="2:3" x14ac:dyDescent="0.25">
      <c r="B90">
        <f ca="1">'Histogram (Unequal Bin Widths)'!B91</f>
        <v>62.866769667379245</v>
      </c>
      <c r="C90" s="45">
        <v>0.1</v>
      </c>
    </row>
    <row r="91" spans="2:3" x14ac:dyDescent="0.25">
      <c r="B91">
        <f ca="1">'Histogram (Unequal Bin Widths)'!B92</f>
        <v>69.763586669985443</v>
      </c>
      <c r="C91" s="45">
        <v>0.1</v>
      </c>
    </row>
    <row r="92" spans="2:3" x14ac:dyDescent="0.25">
      <c r="B92">
        <f ca="1">'Histogram (Unequal Bin Widths)'!B93</f>
        <v>66.019920085971251</v>
      </c>
      <c r="C92" s="45">
        <v>0.1</v>
      </c>
    </row>
    <row r="93" spans="2:3" x14ac:dyDescent="0.25">
      <c r="B93">
        <f ca="1">'Histogram (Unequal Bin Widths)'!B94</f>
        <v>68.577897562400949</v>
      </c>
      <c r="C93" s="45">
        <v>0.1</v>
      </c>
    </row>
    <row r="94" spans="2:3" x14ac:dyDescent="0.25">
      <c r="B94">
        <f ca="1">'Histogram (Unequal Bin Widths)'!B95</f>
        <v>62.928766757172859</v>
      </c>
      <c r="C94" s="45">
        <v>0.1</v>
      </c>
    </row>
    <row r="95" spans="2:3" x14ac:dyDescent="0.25">
      <c r="B95">
        <f ca="1">'Histogram (Unequal Bin Widths)'!B96</f>
        <v>60.650378600522203</v>
      </c>
      <c r="C95" s="45">
        <v>0.1</v>
      </c>
    </row>
    <row r="96" spans="2:3" x14ac:dyDescent="0.25">
      <c r="B96">
        <f ca="1">'Histogram (Unequal Bin Widths)'!B97</f>
        <v>62.55492046456169</v>
      </c>
      <c r="C96" s="45">
        <v>0.1</v>
      </c>
    </row>
    <row r="97" spans="2:3" x14ac:dyDescent="0.25">
      <c r="B97">
        <f ca="1">'Histogram (Unequal Bin Widths)'!B98</f>
        <v>64.339837049717559</v>
      </c>
      <c r="C97" s="45">
        <v>0.1</v>
      </c>
    </row>
    <row r="98" spans="2:3" x14ac:dyDescent="0.25">
      <c r="B98">
        <f ca="1">'Histogram (Unequal Bin Widths)'!B99</f>
        <v>64.601510691071496</v>
      </c>
      <c r="C98" s="45">
        <v>0.1</v>
      </c>
    </row>
    <row r="99" spans="2:3" x14ac:dyDescent="0.25">
      <c r="B99">
        <f ca="1">'Histogram (Unequal Bin Widths)'!B100</f>
        <v>69.18219008879332</v>
      </c>
      <c r="C99" s="45">
        <v>0.1</v>
      </c>
    </row>
    <row r="100" spans="2:3" x14ac:dyDescent="0.25">
      <c r="B100">
        <f ca="1">'Histogram (Unequal Bin Widths)'!B101</f>
        <v>65.18081678544219</v>
      </c>
      <c r="C100" s="45">
        <v>0.1</v>
      </c>
    </row>
    <row r="101" spans="2:3" x14ac:dyDescent="0.25">
      <c r="B101">
        <f ca="1">'Histogram (Unequal Bin Widths)'!B102</f>
        <v>62.53000958906641</v>
      </c>
      <c r="C101" s="45">
        <v>0.1</v>
      </c>
    </row>
    <row r="102" spans="2:3" x14ac:dyDescent="0.25">
      <c r="B102">
        <f ca="1">'Histogram (Unequal Bin Widths)'!B103</f>
        <v>67.023429216239364</v>
      </c>
      <c r="C102" s="45">
        <v>0.1</v>
      </c>
    </row>
    <row r="103" spans="2:3" x14ac:dyDescent="0.25">
      <c r="B103">
        <f ca="1">'Histogram (Unequal Bin Widths)'!B104</f>
        <v>65.419694574125401</v>
      </c>
      <c r="C103" s="45">
        <v>0.1</v>
      </c>
    </row>
    <row r="104" spans="2:3" x14ac:dyDescent="0.25">
      <c r="B104">
        <f ca="1">'Histogram (Unequal Bin Widths)'!B105</f>
        <v>64.527943122945032</v>
      </c>
      <c r="C104" s="45">
        <v>0.1</v>
      </c>
    </row>
    <row r="105" spans="2:3" x14ac:dyDescent="0.25">
      <c r="B105">
        <f ca="1">'Histogram (Unequal Bin Widths)'!B106</f>
        <v>63.990051817670349</v>
      </c>
      <c r="C105" s="45">
        <v>0.1</v>
      </c>
    </row>
    <row r="106" spans="2:3" x14ac:dyDescent="0.25">
      <c r="B106">
        <f ca="1">'Histogram (Unequal Bin Widths)'!B107</f>
        <v>64.048047928929293</v>
      </c>
      <c r="C106" s="45">
        <v>0.1</v>
      </c>
    </row>
    <row r="107" spans="2:3" x14ac:dyDescent="0.25">
      <c r="B107">
        <f ca="1">'Histogram (Unequal Bin Widths)'!B108</f>
        <v>66.004054158487477</v>
      </c>
      <c r="C107" s="45">
        <v>0.1</v>
      </c>
    </row>
    <row r="108" spans="2:3" x14ac:dyDescent="0.25">
      <c r="B108">
        <f ca="1">'Histogram (Unequal Bin Widths)'!B109</f>
        <v>63.730839164069721</v>
      </c>
      <c r="C108" s="45">
        <v>0.1</v>
      </c>
    </row>
    <row r="109" spans="2:3" x14ac:dyDescent="0.25">
      <c r="B109">
        <f ca="1">'Histogram (Unequal Bin Widths)'!B110</f>
        <v>64.306882565104132</v>
      </c>
      <c r="C109" s="45">
        <v>0.1</v>
      </c>
    </row>
    <row r="110" spans="2:3" x14ac:dyDescent="0.25">
      <c r="B110">
        <f ca="1">'Histogram (Unequal Bin Widths)'!B111</f>
        <v>65.939897352211545</v>
      </c>
      <c r="C110" s="45">
        <v>0.1</v>
      </c>
    </row>
    <row r="111" spans="2:3" x14ac:dyDescent="0.25">
      <c r="B111">
        <f ca="1">'Histogram (Unequal Bin Widths)'!B112</f>
        <v>64.462662881571831</v>
      </c>
      <c r="C111" s="45">
        <v>0.1</v>
      </c>
    </row>
    <row r="112" spans="2:3" x14ac:dyDescent="0.25">
      <c r="B112">
        <f ca="1">'Histogram (Unequal Bin Widths)'!B113</f>
        <v>68.607508675355433</v>
      </c>
      <c r="C112" s="45">
        <v>0.1</v>
      </c>
    </row>
    <row r="113" spans="2:3" x14ac:dyDescent="0.25">
      <c r="B113">
        <f ca="1">'Histogram (Unequal Bin Widths)'!B114</f>
        <v>64.862267423302882</v>
      </c>
      <c r="C113" s="45">
        <v>0.1</v>
      </c>
    </row>
    <row r="114" spans="2:3" x14ac:dyDescent="0.25">
      <c r="B114">
        <f ca="1">'Histogram (Unequal Bin Widths)'!B115</f>
        <v>65.029873080459183</v>
      </c>
      <c r="C114" s="45">
        <v>0.1</v>
      </c>
    </row>
    <row r="115" spans="2:3" x14ac:dyDescent="0.25">
      <c r="B115">
        <f ca="1">'Histogram (Unequal Bin Widths)'!B116</f>
        <v>60.474622861672934</v>
      </c>
      <c r="C115" s="45">
        <v>0.1</v>
      </c>
    </row>
    <row r="116" spans="2:3" x14ac:dyDescent="0.25">
      <c r="B116">
        <f ca="1">'Histogram (Unequal Bin Widths)'!B117</f>
        <v>66.903253566519751</v>
      </c>
      <c r="C116" s="45">
        <v>0.1</v>
      </c>
    </row>
    <row r="117" spans="2:3" x14ac:dyDescent="0.25">
      <c r="B117">
        <f ca="1">'Histogram (Unequal Bin Widths)'!B118</f>
        <v>61.708456177973119</v>
      </c>
      <c r="C117" s="45">
        <v>0.1</v>
      </c>
    </row>
    <row r="118" spans="2:3" x14ac:dyDescent="0.25">
      <c r="B118">
        <f ca="1">'Histogram (Unequal Bin Widths)'!B119</f>
        <v>64.37725790007093</v>
      </c>
      <c r="C118" s="45">
        <v>0.1</v>
      </c>
    </row>
    <row r="119" spans="2:3" x14ac:dyDescent="0.25">
      <c r="B119">
        <f ca="1">'Histogram (Unequal Bin Widths)'!B120</f>
        <v>68.591284302048706</v>
      </c>
      <c r="C119" s="45">
        <v>0.1</v>
      </c>
    </row>
    <row r="120" spans="2:3" x14ac:dyDescent="0.25">
      <c r="B120">
        <f ca="1">'Histogram (Unequal Bin Widths)'!B121</f>
        <v>70.403276438005832</v>
      </c>
      <c r="C120" s="45">
        <v>0.1</v>
      </c>
    </row>
    <row r="121" spans="2:3" x14ac:dyDescent="0.25">
      <c r="B121">
        <f ca="1">'Histogram (Unequal Bin Widths)'!B122</f>
        <v>62.94308564332897</v>
      </c>
      <c r="C121" s="45">
        <v>0.1</v>
      </c>
    </row>
    <row r="122" spans="2:3" x14ac:dyDescent="0.25">
      <c r="B122">
        <f ca="1">'Histogram (Unequal Bin Widths)'!B123</f>
        <v>65.928881334843581</v>
      </c>
      <c r="C122" s="45">
        <v>0.1</v>
      </c>
    </row>
    <row r="123" spans="2:3" x14ac:dyDescent="0.25">
      <c r="B123">
        <f ca="1">'Histogram (Unequal Bin Widths)'!B124</f>
        <v>62.630583080097253</v>
      </c>
      <c r="C123" s="45">
        <v>0.1</v>
      </c>
    </row>
  </sheetData>
  <mergeCells count="8">
    <mergeCell ref="H29:K29"/>
    <mergeCell ref="H30:K30"/>
    <mergeCell ref="F3:M10"/>
    <mergeCell ref="F18:H18"/>
    <mergeCell ref="F19:H19"/>
    <mergeCell ref="F23:M26"/>
    <mergeCell ref="F20:H20"/>
    <mergeCell ref="F21:H21"/>
  </mergeCells>
  <hyperlinks>
    <hyperlink ref="H29:K29" r:id="rId1" display="Video For this." xr:uid="{D7D24FF2-9F91-4E6A-B685-E256AC63C8D0}"/>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8EBC4-F2CA-404B-B31C-0A7D969A1017}">
  <dimension ref="B2:U124"/>
  <sheetViews>
    <sheetView workbookViewId="0">
      <selection activeCell="I34" sqref="I34:L34"/>
    </sheetView>
  </sheetViews>
  <sheetFormatPr defaultRowHeight="15" x14ac:dyDescent="0.25"/>
  <cols>
    <col min="1" max="1" width="2.85546875" customWidth="1"/>
    <col min="2" max="2" width="8.85546875" style="35"/>
    <col min="3" max="3" width="10" bestFit="1" customWidth="1"/>
    <col min="6" max="6" width="9.7109375" customWidth="1"/>
    <col min="7" max="7" width="9.85546875" customWidth="1"/>
    <col min="8" max="8" width="8.85546875" style="37"/>
  </cols>
  <sheetData>
    <row r="2" spans="2:21" x14ac:dyDescent="0.25">
      <c r="B2" s="36" t="s">
        <v>6</v>
      </c>
      <c r="E2" s="67" t="s">
        <v>10</v>
      </c>
      <c r="F2" s="68" t="s">
        <v>11</v>
      </c>
      <c r="G2" s="67" t="s">
        <v>12</v>
      </c>
      <c r="H2" s="68" t="s">
        <v>26</v>
      </c>
    </row>
    <row r="3" spans="2:21" x14ac:dyDescent="0.25">
      <c r="B3" s="14">
        <f ca="1">_xlfn.NORM.INV(RAND(),66,3)</f>
        <v>66.242934483345223</v>
      </c>
      <c r="E3" s="67"/>
      <c r="F3" s="68"/>
      <c r="G3" s="67"/>
      <c r="H3" s="68"/>
    </row>
    <row r="4" spans="2:21" x14ac:dyDescent="0.25">
      <c r="B4" s="14">
        <f t="shared" ref="B4:B67" ca="1" si="0">_xlfn.NORM.INV(RAND(),66,3)</f>
        <v>64.733945362871481</v>
      </c>
      <c r="C4" s="3" t="s">
        <v>7</v>
      </c>
      <c r="D4" s="38">
        <f ca="1">MAX(B:B)</f>
        <v>72.965816474382478</v>
      </c>
      <c r="E4" s="13">
        <f ca="1">ROUND(D5,1)+D6</f>
        <v>61.599999999999994</v>
      </c>
      <c r="F4" s="4" cm="1">
        <f t="array" aca="1" ref="F4:F13" ca="1">FREQUENCY(B:B,E4:E12)</f>
        <v>8</v>
      </c>
      <c r="G4" s="15" cm="1">
        <f t="array" aca="1" ref="G4:G13" ca="1">_xlfn.ANCHORARRAY(F4)/COUNT(B:B)</f>
        <v>6.5573770491803282E-2</v>
      </c>
      <c r="H4" s="13">
        <f ca="1">(D5+E4)/2</f>
        <v>60.968868572062917</v>
      </c>
    </row>
    <row r="5" spans="2:21" ht="15.75" thickBot="1" x14ac:dyDescent="0.3">
      <c r="B5" s="14">
        <f t="shared" ca="1" si="0"/>
        <v>66.20535912179669</v>
      </c>
      <c r="C5" s="3" t="s">
        <v>8</v>
      </c>
      <c r="D5" s="38">
        <f ca="1">MIN(B:B)</f>
        <v>60.337737144125832</v>
      </c>
      <c r="E5" s="13">
        <f ca="1">E4+D$6</f>
        <v>62.899999999999991</v>
      </c>
      <c r="F5" s="4">
        <f ca="1"/>
        <v>13</v>
      </c>
      <c r="G5" s="15">
        <f ca="1"/>
        <v>0.10655737704918032</v>
      </c>
      <c r="H5" s="13">
        <f ca="1">(E4+E5)/2</f>
        <v>62.249999999999993</v>
      </c>
    </row>
    <row r="6" spans="2:21" x14ac:dyDescent="0.25">
      <c r="B6" s="14">
        <f t="shared" ca="1" si="0"/>
        <v>70.566312528836036</v>
      </c>
      <c r="C6" t="s">
        <v>9</v>
      </c>
      <c r="D6" s="11">
        <f ca="1">ROUNDUP((D4-D5)/10,1)</f>
        <v>1.3</v>
      </c>
      <c r="E6" s="13">
        <f t="shared" ref="E6:E13" ca="1" si="1">E5+D$6</f>
        <v>64.199999999999989</v>
      </c>
      <c r="F6" s="4">
        <f ca="1"/>
        <v>17</v>
      </c>
      <c r="G6" s="15">
        <f ca="1"/>
        <v>0.13934426229508196</v>
      </c>
      <c r="H6" s="13">
        <f t="shared" ref="H6:H13" ca="1" si="2">(E5+E6)/2</f>
        <v>63.54999999999999</v>
      </c>
      <c r="P6" s="53" t="str">
        <f ca="1">"In a frequency histogram the area of a region should correspond to the number of points on the x-axis lying in that region. This chart, which is often called a histogram, is really still not quite a histogram. Take one of the bars. The area of the bar is "&amp;D6*F9&amp;", but the number of data points represented by the bar is "&amp;F9&amp;"."</f>
        <v>In a frequency histogram the area of a region should correspond to the number of points on the x-axis lying in that region. This chart, which is often called a histogram, is really still not quite a histogram. Take one of the bars. The area of the bar is 26, but the number of data points represented by the bar is 20.</v>
      </c>
      <c r="Q6" s="54"/>
      <c r="R6" s="54"/>
      <c r="S6" s="54"/>
      <c r="T6" s="54"/>
      <c r="U6" s="55"/>
    </row>
    <row r="7" spans="2:21" x14ac:dyDescent="0.25">
      <c r="B7" s="14">
        <f t="shared" ca="1" si="0"/>
        <v>63.835344305202476</v>
      </c>
      <c r="E7" s="13">
        <f t="shared" ca="1" si="1"/>
        <v>65.499999999999986</v>
      </c>
      <c r="F7" s="4">
        <f ca="1"/>
        <v>19</v>
      </c>
      <c r="G7" s="15">
        <f ca="1"/>
        <v>0.15573770491803279</v>
      </c>
      <c r="H7" s="13">
        <f t="shared" ca="1" si="2"/>
        <v>64.849999999999994</v>
      </c>
      <c r="P7" s="56"/>
      <c r="Q7" s="57"/>
      <c r="R7" s="57"/>
      <c r="S7" s="57"/>
      <c r="T7" s="57"/>
      <c r="U7" s="58"/>
    </row>
    <row r="8" spans="2:21" x14ac:dyDescent="0.25">
      <c r="B8" s="14">
        <f t="shared" ca="1" si="0"/>
        <v>68.12539793235554</v>
      </c>
      <c r="E8" s="13">
        <f t="shared" ca="1" si="1"/>
        <v>66.799999999999983</v>
      </c>
      <c r="F8" s="4">
        <f ca="1"/>
        <v>17</v>
      </c>
      <c r="G8" s="15">
        <f ca="1"/>
        <v>0.13934426229508196</v>
      </c>
      <c r="H8" s="13">
        <f t="shared" ca="1" si="2"/>
        <v>66.149999999999977</v>
      </c>
      <c r="P8" s="56"/>
      <c r="Q8" s="57"/>
      <c r="R8" s="57"/>
      <c r="S8" s="57"/>
      <c r="T8" s="57"/>
      <c r="U8" s="58"/>
    </row>
    <row r="9" spans="2:21" ht="15" customHeight="1" x14ac:dyDescent="0.25">
      <c r="B9" s="14">
        <f t="shared" ca="1" si="0"/>
        <v>70.406940346506488</v>
      </c>
      <c r="E9" s="13">
        <f t="shared" ca="1" si="1"/>
        <v>68.09999999999998</v>
      </c>
      <c r="F9" s="47">
        <f ca="1"/>
        <v>20</v>
      </c>
      <c r="G9" s="48">
        <f ca="1"/>
        <v>0.16393442622950818</v>
      </c>
      <c r="H9" s="13">
        <f t="shared" ca="1" si="2"/>
        <v>67.449999999999989</v>
      </c>
      <c r="P9" s="56"/>
      <c r="Q9" s="57"/>
      <c r="R9" s="57"/>
      <c r="S9" s="57"/>
      <c r="T9" s="57"/>
      <c r="U9" s="58"/>
    </row>
    <row r="10" spans="2:21" ht="14.45" customHeight="1" x14ac:dyDescent="0.25">
      <c r="B10" s="14">
        <f t="shared" ca="1" si="0"/>
        <v>68.758300257521469</v>
      </c>
      <c r="E10" s="13">
        <f t="shared" ca="1" si="1"/>
        <v>69.399999999999977</v>
      </c>
      <c r="F10" s="4">
        <f ca="1"/>
        <v>15</v>
      </c>
      <c r="G10" s="15">
        <f ca="1"/>
        <v>0.12295081967213115</v>
      </c>
      <c r="H10" s="13">
        <f t="shared" ca="1" si="2"/>
        <v>68.749999999999972</v>
      </c>
      <c r="P10" s="56"/>
      <c r="Q10" s="57"/>
      <c r="R10" s="57"/>
      <c r="S10" s="57"/>
      <c r="T10" s="57"/>
      <c r="U10" s="58"/>
    </row>
    <row r="11" spans="2:21" ht="14.45" customHeight="1" x14ac:dyDescent="0.25">
      <c r="B11" s="14">
        <f t="shared" ca="1" si="0"/>
        <v>68.052733629157672</v>
      </c>
      <c r="E11" s="13">
        <f t="shared" ca="1" si="1"/>
        <v>70.699999999999974</v>
      </c>
      <c r="F11" s="4">
        <f ca="1"/>
        <v>10</v>
      </c>
      <c r="G11" s="15">
        <f ca="1"/>
        <v>8.1967213114754092E-2</v>
      </c>
      <c r="H11" s="13">
        <f t="shared" ca="1" si="2"/>
        <v>70.049999999999983</v>
      </c>
      <c r="P11" s="56"/>
      <c r="Q11" s="57"/>
      <c r="R11" s="57"/>
      <c r="S11" s="57"/>
      <c r="T11" s="57"/>
      <c r="U11" s="58"/>
    </row>
    <row r="12" spans="2:21" ht="14.45" customHeight="1" x14ac:dyDescent="0.25">
      <c r="B12" s="14">
        <f t="shared" ca="1" si="0"/>
        <v>60.337737144125832</v>
      </c>
      <c r="E12" s="13">
        <f t="shared" ca="1" si="1"/>
        <v>71.999999999999972</v>
      </c>
      <c r="F12" s="4">
        <f ca="1"/>
        <v>1</v>
      </c>
      <c r="G12" s="15">
        <f ca="1"/>
        <v>8.1967213114754103E-3</v>
      </c>
      <c r="H12" s="13">
        <f t="shared" ca="1" si="2"/>
        <v>71.349999999999966</v>
      </c>
      <c r="P12" s="56"/>
      <c r="Q12" s="57"/>
      <c r="R12" s="57"/>
      <c r="S12" s="57"/>
      <c r="T12" s="57"/>
      <c r="U12" s="58"/>
    </row>
    <row r="13" spans="2:21" ht="14.45" customHeight="1" thickBot="1" x14ac:dyDescent="0.3">
      <c r="B13" s="14">
        <f t="shared" ca="1" si="0"/>
        <v>66.232521294311383</v>
      </c>
      <c r="E13" s="13">
        <f t="shared" ca="1" si="1"/>
        <v>73.299999999999969</v>
      </c>
      <c r="F13" s="4">
        <f ca="1"/>
        <v>2</v>
      </c>
      <c r="G13" s="15">
        <f ca="1"/>
        <v>1.6393442622950821E-2</v>
      </c>
      <c r="H13" s="13">
        <f t="shared" ca="1" si="2"/>
        <v>72.649999999999977</v>
      </c>
      <c r="P13" s="59"/>
      <c r="Q13" s="60"/>
      <c r="R13" s="60"/>
      <c r="S13" s="60"/>
      <c r="T13" s="60"/>
      <c r="U13" s="61"/>
    </row>
    <row r="14" spans="2:21" ht="14.45" customHeight="1" x14ac:dyDescent="0.25">
      <c r="B14" s="14">
        <f t="shared" ca="1" si="0"/>
        <v>66.244666483025384</v>
      </c>
      <c r="E14" s="2" t="s">
        <v>13</v>
      </c>
      <c r="F14" s="10">
        <f ca="1">SUM(F4:F13)</f>
        <v>122</v>
      </c>
      <c r="G14" s="32">
        <f ca="1">SUM(G4:G13)</f>
        <v>1</v>
      </c>
    </row>
    <row r="15" spans="2:21" ht="14.45" customHeight="1" x14ac:dyDescent="0.25">
      <c r="B15" s="14">
        <f t="shared" ca="1" si="0"/>
        <v>72.926828735755066</v>
      </c>
    </row>
    <row r="16" spans="2:21" ht="14.45" customHeight="1" thickBot="1" x14ac:dyDescent="0.3">
      <c r="B16" s="14">
        <f t="shared" ca="1" si="0"/>
        <v>70.680988386002909</v>
      </c>
    </row>
    <row r="17" spans="2:21" ht="14.45" customHeight="1" thickBot="1" x14ac:dyDescent="0.3">
      <c r="B17" s="14">
        <f t="shared" ca="1" si="0"/>
        <v>62.879952427261607</v>
      </c>
      <c r="D17" s="53" t="s">
        <v>21</v>
      </c>
      <c r="E17" s="54"/>
      <c r="F17" s="55"/>
    </row>
    <row r="18" spans="2:21" ht="14.45" customHeight="1" x14ac:dyDescent="0.25">
      <c r="B18" s="14">
        <f t="shared" ca="1" si="0"/>
        <v>66.520814865113479</v>
      </c>
      <c r="D18" s="56"/>
      <c r="E18" s="57"/>
      <c r="F18" s="58"/>
      <c r="P18" s="53" t="str">
        <f ca="1">"In a relative frequency histogram the area of a region should correspond to the percentage of "&amp;"points on the x-axis lying in that region. This chart, which is often called a histogram, is really still not quite a histogram. Take one of the bars again. The area of the bar is "&amp;ROUND(D6*G9*100,2)&amp;"%, but the percentage of data points represented by the bar is "&amp;ROUND(G9*100,2)&amp;"%."</f>
        <v>In a relative frequency histogram the area of a region should correspond to the percentage of points on the x-axis lying in that region. This chart, which is often called a histogram, is really still not quite a histogram. Take one of the bars again. The area of the bar is 21.31%, but the percentage of data points represented by the bar is 16.39%.</v>
      </c>
      <c r="Q18" s="54"/>
      <c r="R18" s="54"/>
      <c r="S18" s="54"/>
      <c r="T18" s="54"/>
      <c r="U18" s="55"/>
    </row>
    <row r="19" spans="2:21" ht="15" customHeight="1" x14ac:dyDescent="0.25">
      <c r="B19" s="14">
        <f t="shared" ca="1" si="0"/>
        <v>65.799904367928704</v>
      </c>
      <c r="D19" s="56"/>
      <c r="E19" s="57"/>
      <c r="F19" s="58"/>
      <c r="P19" s="56"/>
      <c r="Q19" s="57"/>
      <c r="R19" s="57"/>
      <c r="S19" s="57"/>
      <c r="T19" s="57"/>
      <c r="U19" s="58"/>
    </row>
    <row r="20" spans="2:21" ht="15" customHeight="1" x14ac:dyDescent="0.25">
      <c r="B20" s="14">
        <f t="shared" ca="1" si="0"/>
        <v>63.813916334643544</v>
      </c>
      <c r="D20" s="56"/>
      <c r="E20" s="57"/>
      <c r="F20" s="58"/>
      <c r="P20" s="56"/>
      <c r="Q20" s="57"/>
      <c r="R20" s="57"/>
      <c r="S20" s="57"/>
      <c r="T20" s="57"/>
      <c r="U20" s="58"/>
    </row>
    <row r="21" spans="2:21" ht="15" customHeight="1" x14ac:dyDescent="0.25">
      <c r="B21" s="14">
        <f t="shared" ca="1" si="0"/>
        <v>64.136402301466291</v>
      </c>
      <c r="D21" s="56"/>
      <c r="E21" s="57"/>
      <c r="F21" s="58"/>
      <c r="P21" s="56"/>
      <c r="Q21" s="57"/>
      <c r="R21" s="57"/>
      <c r="S21" s="57"/>
      <c r="T21" s="57"/>
      <c r="U21" s="58"/>
    </row>
    <row r="22" spans="2:21" x14ac:dyDescent="0.25">
      <c r="B22" s="14">
        <f t="shared" ca="1" si="0"/>
        <v>62.786435009059964</v>
      </c>
      <c r="D22" s="56"/>
      <c r="E22" s="57"/>
      <c r="F22" s="58"/>
      <c r="P22" s="56"/>
      <c r="Q22" s="57"/>
      <c r="R22" s="57"/>
      <c r="S22" s="57"/>
      <c r="T22" s="57"/>
      <c r="U22" s="58"/>
    </row>
    <row r="23" spans="2:21" ht="15.75" thickBot="1" x14ac:dyDescent="0.3">
      <c r="B23" s="14">
        <f t="shared" ca="1" si="0"/>
        <v>69.568648923401881</v>
      </c>
      <c r="D23" s="59"/>
      <c r="E23" s="60"/>
      <c r="F23" s="61"/>
      <c r="P23" s="56"/>
      <c r="Q23" s="57"/>
      <c r="R23" s="57"/>
      <c r="S23" s="57"/>
      <c r="T23" s="57"/>
      <c r="U23" s="58"/>
    </row>
    <row r="24" spans="2:21" x14ac:dyDescent="0.25">
      <c r="B24" s="14">
        <f t="shared" ca="1" si="0"/>
        <v>64.317414586693502</v>
      </c>
      <c r="P24" s="56"/>
      <c r="Q24" s="57"/>
      <c r="R24" s="57"/>
      <c r="S24" s="57"/>
      <c r="T24" s="57"/>
      <c r="U24" s="58"/>
    </row>
    <row r="25" spans="2:21" x14ac:dyDescent="0.25">
      <c r="B25" s="14">
        <f t="shared" ca="1" si="0"/>
        <v>66.061558501820087</v>
      </c>
      <c r="P25" s="56"/>
      <c r="Q25" s="57"/>
      <c r="R25" s="57"/>
      <c r="S25" s="57"/>
      <c r="T25" s="57"/>
      <c r="U25" s="58"/>
    </row>
    <row r="26" spans="2:21" ht="15.75" thickBot="1" x14ac:dyDescent="0.3">
      <c r="B26" s="14">
        <f t="shared" ca="1" si="0"/>
        <v>65.765903101851904</v>
      </c>
      <c r="P26" s="59"/>
      <c r="Q26" s="60"/>
      <c r="R26" s="60"/>
      <c r="S26" s="60"/>
      <c r="T26" s="60"/>
      <c r="U26" s="61"/>
    </row>
    <row r="27" spans="2:21" x14ac:dyDescent="0.25">
      <c r="B27" s="14">
        <f t="shared" ca="1" si="0"/>
        <v>66.820491715120312</v>
      </c>
    </row>
    <row r="28" spans="2:21" x14ac:dyDescent="0.25">
      <c r="B28" s="14">
        <f t="shared" ca="1" si="0"/>
        <v>68.263157362157685</v>
      </c>
    </row>
    <row r="29" spans="2:21" x14ac:dyDescent="0.25">
      <c r="B29" s="14">
        <f t="shared" ca="1" si="0"/>
        <v>63.751664011456583</v>
      </c>
    </row>
    <row r="30" spans="2:21" x14ac:dyDescent="0.25">
      <c r="B30" s="14">
        <f t="shared" ca="1" si="0"/>
        <v>61.139526115604589</v>
      </c>
    </row>
    <row r="31" spans="2:21" x14ac:dyDescent="0.25">
      <c r="B31" s="14">
        <f t="shared" ca="1" si="0"/>
        <v>61.832624825508717</v>
      </c>
    </row>
    <row r="32" spans="2:21" ht="15" customHeight="1" x14ac:dyDescent="0.25">
      <c r="B32" s="14">
        <f t="shared" ca="1" si="0"/>
        <v>64.458155759942073</v>
      </c>
    </row>
    <row r="33" spans="2:12" ht="15" customHeight="1" thickBot="1" x14ac:dyDescent="0.3">
      <c r="B33" s="14">
        <f t="shared" ca="1" si="0"/>
        <v>71.43623843106856</v>
      </c>
    </row>
    <row r="34" spans="2:12" ht="15" customHeight="1" thickBot="1" x14ac:dyDescent="0.3">
      <c r="B34" s="14">
        <f t="shared" ca="1" si="0"/>
        <v>70.380261068021241</v>
      </c>
      <c r="I34" s="79" t="s">
        <v>35</v>
      </c>
      <c r="J34" s="80"/>
      <c r="K34" s="80"/>
      <c r="L34" s="81"/>
    </row>
    <row r="35" spans="2:12" ht="15" customHeight="1" x14ac:dyDescent="0.25">
      <c r="B35" s="14">
        <f t="shared" ca="1" si="0"/>
        <v>67.958562513892531</v>
      </c>
      <c r="I35" s="65" t="s">
        <v>36</v>
      </c>
      <c r="J35" s="65"/>
      <c r="K35" s="65"/>
      <c r="L35" s="65"/>
    </row>
    <row r="36" spans="2:12" ht="15" customHeight="1" x14ac:dyDescent="0.25">
      <c r="B36" s="14">
        <f t="shared" ca="1" si="0"/>
        <v>67.050559490969547</v>
      </c>
    </row>
    <row r="37" spans="2:12" ht="15" customHeight="1" x14ac:dyDescent="0.25">
      <c r="B37" s="14">
        <f t="shared" ca="1" si="0"/>
        <v>67.724337352905977</v>
      </c>
    </row>
    <row r="38" spans="2:12" ht="15" customHeight="1" x14ac:dyDescent="0.25">
      <c r="B38" s="14">
        <f t="shared" ca="1" si="0"/>
        <v>62.770845880537131</v>
      </c>
    </row>
    <row r="39" spans="2:12" ht="15" customHeight="1" x14ac:dyDescent="0.25">
      <c r="B39" s="14">
        <f t="shared" ca="1" si="0"/>
        <v>62.293042269721461</v>
      </c>
    </row>
    <row r="40" spans="2:12" ht="15" customHeight="1" x14ac:dyDescent="0.25">
      <c r="B40" s="14">
        <f t="shared" ca="1" si="0"/>
        <v>65.536563806302993</v>
      </c>
    </row>
    <row r="41" spans="2:12" ht="15" customHeight="1" x14ac:dyDescent="0.25">
      <c r="B41" s="14">
        <f t="shared" ca="1" si="0"/>
        <v>67.207745864465835</v>
      </c>
    </row>
    <row r="42" spans="2:12" ht="15.75" customHeight="1" x14ac:dyDescent="0.25">
      <c r="B42" s="14">
        <f t="shared" ca="1" si="0"/>
        <v>62.547370272693669</v>
      </c>
    </row>
    <row r="43" spans="2:12" x14ac:dyDescent="0.25">
      <c r="B43" s="14">
        <f t="shared" ca="1" si="0"/>
        <v>69.392140184375819</v>
      </c>
    </row>
    <row r="44" spans="2:12" x14ac:dyDescent="0.25">
      <c r="B44" s="14">
        <f t="shared" ca="1" si="0"/>
        <v>67.729854637108858</v>
      </c>
    </row>
    <row r="45" spans="2:12" x14ac:dyDescent="0.25">
      <c r="B45" s="14">
        <f t="shared" ca="1" si="0"/>
        <v>66.083867300281312</v>
      </c>
    </row>
    <row r="46" spans="2:12" x14ac:dyDescent="0.25">
      <c r="B46" s="14">
        <f t="shared" ca="1" si="0"/>
        <v>67.317733735635542</v>
      </c>
    </row>
    <row r="47" spans="2:12" x14ac:dyDescent="0.25">
      <c r="B47" s="14">
        <f t="shared" ca="1" si="0"/>
        <v>66.770176536641756</v>
      </c>
    </row>
    <row r="48" spans="2:12" x14ac:dyDescent="0.25">
      <c r="B48" s="14">
        <f t="shared" ca="1" si="0"/>
        <v>65.802601715232484</v>
      </c>
    </row>
    <row r="49" spans="2:2" x14ac:dyDescent="0.25">
      <c r="B49" s="14">
        <f t="shared" ca="1" si="0"/>
        <v>60.686868681992188</v>
      </c>
    </row>
    <row r="50" spans="2:2" x14ac:dyDescent="0.25">
      <c r="B50" s="14">
        <f t="shared" ca="1" si="0"/>
        <v>70.631436966120845</v>
      </c>
    </row>
    <row r="51" spans="2:2" x14ac:dyDescent="0.25">
      <c r="B51" s="14">
        <f t="shared" ca="1" si="0"/>
        <v>67.822231309414491</v>
      </c>
    </row>
    <row r="52" spans="2:2" x14ac:dyDescent="0.25">
      <c r="B52" s="14">
        <f t="shared" ca="1" si="0"/>
        <v>65.451083517140262</v>
      </c>
    </row>
    <row r="53" spans="2:2" x14ac:dyDescent="0.25">
      <c r="B53" s="14">
        <f t="shared" ca="1" si="0"/>
        <v>69.889156638810135</v>
      </c>
    </row>
    <row r="54" spans="2:2" x14ac:dyDescent="0.25">
      <c r="B54" s="14">
        <f t="shared" ca="1" si="0"/>
        <v>62.575792941732757</v>
      </c>
    </row>
    <row r="55" spans="2:2" x14ac:dyDescent="0.25">
      <c r="B55" s="14">
        <f t="shared" ca="1" si="0"/>
        <v>68.790168500099284</v>
      </c>
    </row>
    <row r="56" spans="2:2" x14ac:dyDescent="0.25">
      <c r="B56" s="14">
        <f t="shared" ca="1" si="0"/>
        <v>65.195396415878776</v>
      </c>
    </row>
    <row r="57" spans="2:2" x14ac:dyDescent="0.25">
      <c r="B57" s="14">
        <f t="shared" ca="1" si="0"/>
        <v>67.083526236133267</v>
      </c>
    </row>
    <row r="58" spans="2:2" x14ac:dyDescent="0.25">
      <c r="B58" s="14">
        <f t="shared" ca="1" si="0"/>
        <v>69.226471004443937</v>
      </c>
    </row>
    <row r="59" spans="2:2" x14ac:dyDescent="0.25">
      <c r="B59" s="14">
        <f t="shared" ca="1" si="0"/>
        <v>61.030827750936695</v>
      </c>
    </row>
    <row r="60" spans="2:2" x14ac:dyDescent="0.25">
      <c r="B60" s="14">
        <f t="shared" ca="1" si="0"/>
        <v>63.986155098356939</v>
      </c>
    </row>
    <row r="61" spans="2:2" x14ac:dyDescent="0.25">
      <c r="B61" s="14">
        <f t="shared" ca="1" si="0"/>
        <v>63.699223418430471</v>
      </c>
    </row>
    <row r="62" spans="2:2" x14ac:dyDescent="0.25">
      <c r="B62" s="14">
        <f t="shared" ca="1" si="0"/>
        <v>60.524657455882306</v>
      </c>
    </row>
    <row r="63" spans="2:2" x14ac:dyDescent="0.25">
      <c r="B63" s="14">
        <f t="shared" ca="1" si="0"/>
        <v>63.690036126164046</v>
      </c>
    </row>
    <row r="64" spans="2:2" x14ac:dyDescent="0.25">
      <c r="B64" s="14">
        <f t="shared" ca="1" si="0"/>
        <v>68.393102668615157</v>
      </c>
    </row>
    <row r="65" spans="2:2" x14ac:dyDescent="0.25">
      <c r="B65" s="14">
        <f t="shared" ca="1" si="0"/>
        <v>72.965816474382478</v>
      </c>
    </row>
    <row r="66" spans="2:2" x14ac:dyDescent="0.25">
      <c r="B66" s="14">
        <f t="shared" ca="1" si="0"/>
        <v>69.132891507536783</v>
      </c>
    </row>
    <row r="67" spans="2:2" x14ac:dyDescent="0.25">
      <c r="B67" s="14">
        <f t="shared" ca="1" si="0"/>
        <v>64.560732642842893</v>
      </c>
    </row>
    <row r="68" spans="2:2" x14ac:dyDescent="0.25">
      <c r="B68" s="14">
        <f t="shared" ref="B68:B124" ca="1" si="3">_xlfn.NORM.INV(RAND(),66,3)</f>
        <v>65.06553956316084</v>
      </c>
    </row>
    <row r="69" spans="2:2" x14ac:dyDescent="0.25">
      <c r="B69" s="14">
        <f t="shared" ca="1" si="3"/>
        <v>67.584435173268702</v>
      </c>
    </row>
    <row r="70" spans="2:2" x14ac:dyDescent="0.25">
      <c r="B70" s="14">
        <f t="shared" ca="1" si="3"/>
        <v>63.388505838246573</v>
      </c>
    </row>
    <row r="71" spans="2:2" x14ac:dyDescent="0.25">
      <c r="B71" s="14">
        <f t="shared" ca="1" si="3"/>
        <v>68.826396011148987</v>
      </c>
    </row>
    <row r="72" spans="2:2" x14ac:dyDescent="0.25">
      <c r="B72" s="14">
        <f t="shared" ca="1" si="3"/>
        <v>66.901953310334136</v>
      </c>
    </row>
    <row r="73" spans="2:2" x14ac:dyDescent="0.25">
      <c r="B73" s="14">
        <f t="shared" ca="1" si="3"/>
        <v>66.847864430089132</v>
      </c>
    </row>
    <row r="74" spans="2:2" x14ac:dyDescent="0.25">
      <c r="B74" s="14">
        <f t="shared" ca="1" si="3"/>
        <v>63.959480931125611</v>
      </c>
    </row>
    <row r="75" spans="2:2" x14ac:dyDescent="0.25">
      <c r="B75" s="14">
        <f t="shared" ca="1" si="3"/>
        <v>67.00248895781742</v>
      </c>
    </row>
    <row r="76" spans="2:2" x14ac:dyDescent="0.25">
      <c r="B76" s="14">
        <f t="shared" ca="1" si="3"/>
        <v>61.846276541973559</v>
      </c>
    </row>
    <row r="77" spans="2:2" x14ac:dyDescent="0.25">
      <c r="B77" s="14">
        <f t="shared" ca="1" si="3"/>
        <v>68.749918497984808</v>
      </c>
    </row>
    <row r="78" spans="2:2" x14ac:dyDescent="0.25">
      <c r="B78" s="14">
        <f t="shared" ca="1" si="3"/>
        <v>67.412689056446894</v>
      </c>
    </row>
    <row r="79" spans="2:2" x14ac:dyDescent="0.25">
      <c r="B79" s="14">
        <f t="shared" ca="1" si="3"/>
        <v>68.295978068811891</v>
      </c>
    </row>
    <row r="80" spans="2:2" x14ac:dyDescent="0.25">
      <c r="B80" s="14">
        <f t="shared" ca="1" si="3"/>
        <v>63.508756989083238</v>
      </c>
    </row>
    <row r="81" spans="2:2" x14ac:dyDescent="0.25">
      <c r="B81" s="14">
        <f t="shared" ca="1" si="3"/>
        <v>61.360217869183117</v>
      </c>
    </row>
    <row r="82" spans="2:2" x14ac:dyDescent="0.25">
      <c r="B82" s="14">
        <f t="shared" ca="1" si="3"/>
        <v>70.181761015750197</v>
      </c>
    </row>
    <row r="83" spans="2:2" x14ac:dyDescent="0.25">
      <c r="B83" s="14">
        <f t="shared" ca="1" si="3"/>
        <v>67.717765900309033</v>
      </c>
    </row>
    <row r="84" spans="2:2" x14ac:dyDescent="0.25">
      <c r="B84" s="14">
        <f t="shared" ca="1" si="3"/>
        <v>66.949422645155238</v>
      </c>
    </row>
    <row r="85" spans="2:2" x14ac:dyDescent="0.25">
      <c r="B85" s="14">
        <f t="shared" ca="1" si="3"/>
        <v>67.580467316864755</v>
      </c>
    </row>
    <row r="86" spans="2:2" x14ac:dyDescent="0.25">
      <c r="B86" s="14">
        <f t="shared" ca="1" si="3"/>
        <v>65.615480189559364</v>
      </c>
    </row>
    <row r="87" spans="2:2" x14ac:dyDescent="0.25">
      <c r="B87" s="14">
        <f t="shared" ca="1" si="3"/>
        <v>64.663874146530233</v>
      </c>
    </row>
    <row r="88" spans="2:2" x14ac:dyDescent="0.25">
      <c r="B88" s="14">
        <f t="shared" ca="1" si="3"/>
        <v>63.554668904705267</v>
      </c>
    </row>
    <row r="89" spans="2:2" x14ac:dyDescent="0.25">
      <c r="B89" s="14">
        <f t="shared" ca="1" si="3"/>
        <v>64.212661108492156</v>
      </c>
    </row>
    <row r="90" spans="2:2" x14ac:dyDescent="0.25">
      <c r="B90" s="14">
        <f t="shared" ca="1" si="3"/>
        <v>63.582420345152578</v>
      </c>
    </row>
    <row r="91" spans="2:2" x14ac:dyDescent="0.25">
      <c r="B91" s="14">
        <f t="shared" ca="1" si="3"/>
        <v>62.866769667379245</v>
      </c>
    </row>
    <row r="92" spans="2:2" x14ac:dyDescent="0.25">
      <c r="B92" s="14">
        <f t="shared" ca="1" si="3"/>
        <v>69.763586669985443</v>
      </c>
    </row>
    <row r="93" spans="2:2" x14ac:dyDescent="0.25">
      <c r="B93" s="14">
        <f t="shared" ca="1" si="3"/>
        <v>66.019920085971251</v>
      </c>
    </row>
    <row r="94" spans="2:2" x14ac:dyDescent="0.25">
      <c r="B94" s="14">
        <f t="shared" ca="1" si="3"/>
        <v>68.577897562400949</v>
      </c>
    </row>
    <row r="95" spans="2:2" x14ac:dyDescent="0.25">
      <c r="B95" s="14">
        <f t="shared" ca="1" si="3"/>
        <v>62.928766757172859</v>
      </c>
    </row>
    <row r="96" spans="2:2" x14ac:dyDescent="0.25">
      <c r="B96" s="14">
        <f t="shared" ca="1" si="3"/>
        <v>60.650378600522203</v>
      </c>
    </row>
    <row r="97" spans="2:2" x14ac:dyDescent="0.25">
      <c r="B97" s="14">
        <f t="shared" ca="1" si="3"/>
        <v>62.55492046456169</v>
      </c>
    </row>
    <row r="98" spans="2:2" x14ac:dyDescent="0.25">
      <c r="B98" s="14">
        <f t="shared" ca="1" si="3"/>
        <v>64.339837049717559</v>
      </c>
    </row>
    <row r="99" spans="2:2" x14ac:dyDescent="0.25">
      <c r="B99" s="14">
        <f t="shared" ca="1" si="3"/>
        <v>64.601510691071496</v>
      </c>
    </row>
    <row r="100" spans="2:2" x14ac:dyDescent="0.25">
      <c r="B100" s="14">
        <f t="shared" ca="1" si="3"/>
        <v>69.18219008879332</v>
      </c>
    </row>
    <row r="101" spans="2:2" x14ac:dyDescent="0.25">
      <c r="B101" s="14">
        <f t="shared" ca="1" si="3"/>
        <v>65.18081678544219</v>
      </c>
    </row>
    <row r="102" spans="2:2" x14ac:dyDescent="0.25">
      <c r="B102" s="14">
        <f t="shared" ca="1" si="3"/>
        <v>62.53000958906641</v>
      </c>
    </row>
    <row r="103" spans="2:2" x14ac:dyDescent="0.25">
      <c r="B103" s="14">
        <f t="shared" ca="1" si="3"/>
        <v>67.023429216239364</v>
      </c>
    </row>
    <row r="104" spans="2:2" x14ac:dyDescent="0.25">
      <c r="B104" s="14">
        <f t="shared" ca="1" si="3"/>
        <v>65.419694574125401</v>
      </c>
    </row>
    <row r="105" spans="2:2" x14ac:dyDescent="0.25">
      <c r="B105" s="14">
        <f t="shared" ca="1" si="3"/>
        <v>64.527943122945032</v>
      </c>
    </row>
    <row r="106" spans="2:2" x14ac:dyDescent="0.25">
      <c r="B106" s="14">
        <f t="shared" ca="1" si="3"/>
        <v>63.990051817670349</v>
      </c>
    </row>
    <row r="107" spans="2:2" x14ac:dyDescent="0.25">
      <c r="B107" s="14">
        <f t="shared" ca="1" si="3"/>
        <v>64.048047928929293</v>
      </c>
    </row>
    <row r="108" spans="2:2" x14ac:dyDescent="0.25">
      <c r="B108" s="14">
        <f t="shared" ca="1" si="3"/>
        <v>66.004054158487477</v>
      </c>
    </row>
    <row r="109" spans="2:2" x14ac:dyDescent="0.25">
      <c r="B109" s="14">
        <f t="shared" ca="1" si="3"/>
        <v>63.730839164069721</v>
      </c>
    </row>
    <row r="110" spans="2:2" x14ac:dyDescent="0.25">
      <c r="B110" s="14">
        <f t="shared" ca="1" si="3"/>
        <v>64.306882565104132</v>
      </c>
    </row>
    <row r="111" spans="2:2" x14ac:dyDescent="0.25">
      <c r="B111" s="14">
        <f t="shared" ca="1" si="3"/>
        <v>65.939897352211545</v>
      </c>
    </row>
    <row r="112" spans="2:2" x14ac:dyDescent="0.25">
      <c r="B112" s="14">
        <f t="shared" ca="1" si="3"/>
        <v>64.462662881571831</v>
      </c>
    </row>
    <row r="113" spans="2:2" x14ac:dyDescent="0.25">
      <c r="B113" s="14">
        <f t="shared" ca="1" si="3"/>
        <v>68.607508675355433</v>
      </c>
    </row>
    <row r="114" spans="2:2" x14ac:dyDescent="0.25">
      <c r="B114" s="14">
        <f t="shared" ca="1" si="3"/>
        <v>64.862267423302882</v>
      </c>
    </row>
    <row r="115" spans="2:2" x14ac:dyDescent="0.25">
      <c r="B115" s="14">
        <f t="shared" ca="1" si="3"/>
        <v>65.029873080459183</v>
      </c>
    </row>
    <row r="116" spans="2:2" x14ac:dyDescent="0.25">
      <c r="B116" s="14">
        <f t="shared" ca="1" si="3"/>
        <v>60.474622861672934</v>
      </c>
    </row>
    <row r="117" spans="2:2" x14ac:dyDescent="0.25">
      <c r="B117" s="14">
        <f t="shared" ca="1" si="3"/>
        <v>66.903253566519751</v>
      </c>
    </row>
    <row r="118" spans="2:2" x14ac:dyDescent="0.25">
      <c r="B118" s="14">
        <f t="shared" ca="1" si="3"/>
        <v>61.708456177973119</v>
      </c>
    </row>
    <row r="119" spans="2:2" x14ac:dyDescent="0.25">
      <c r="B119" s="14">
        <f t="shared" ca="1" si="3"/>
        <v>64.37725790007093</v>
      </c>
    </row>
    <row r="120" spans="2:2" x14ac:dyDescent="0.25">
      <c r="B120" s="14">
        <f t="shared" ca="1" si="3"/>
        <v>68.591284302048706</v>
      </c>
    </row>
    <row r="121" spans="2:2" x14ac:dyDescent="0.25">
      <c r="B121" s="14">
        <f t="shared" ca="1" si="3"/>
        <v>70.403276438005832</v>
      </c>
    </row>
    <row r="122" spans="2:2" x14ac:dyDescent="0.25">
      <c r="B122" s="14">
        <f t="shared" ca="1" si="3"/>
        <v>62.94308564332897</v>
      </c>
    </row>
    <row r="123" spans="2:2" x14ac:dyDescent="0.25">
      <c r="B123" s="14">
        <f t="shared" ca="1" si="3"/>
        <v>65.928881334843581</v>
      </c>
    </row>
    <row r="124" spans="2:2" x14ac:dyDescent="0.25">
      <c r="B124" s="14">
        <f t="shared" ca="1" si="3"/>
        <v>62.630583080097253</v>
      </c>
    </row>
  </sheetData>
  <mergeCells count="9">
    <mergeCell ref="P18:U26"/>
    <mergeCell ref="I34:L34"/>
    <mergeCell ref="I35:L35"/>
    <mergeCell ref="E2:E3"/>
    <mergeCell ref="G2:G3"/>
    <mergeCell ref="F2:F3"/>
    <mergeCell ref="D17:F23"/>
    <mergeCell ref="H2:H3"/>
    <mergeCell ref="P6:U13"/>
  </mergeCells>
  <hyperlinks>
    <hyperlink ref="I34:L34" r:id="rId1" display="Video For this." xr:uid="{D3138C6F-B567-4E93-9946-29E7F10AC2FF}"/>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26885-D44B-40F7-B6B9-0661603BE082}">
  <dimension ref="B1:U124"/>
  <sheetViews>
    <sheetView workbookViewId="0">
      <selection activeCell="I33" sqref="I33:L33"/>
    </sheetView>
  </sheetViews>
  <sheetFormatPr defaultRowHeight="15" x14ac:dyDescent="0.25"/>
  <cols>
    <col min="1" max="1" width="2.7109375" customWidth="1"/>
    <col min="2" max="2" width="8.85546875" style="4"/>
    <col min="3" max="3" width="10" bestFit="1" customWidth="1"/>
    <col min="6" max="6" width="11" customWidth="1"/>
    <col min="7" max="7" width="12.42578125" customWidth="1"/>
  </cols>
  <sheetData>
    <row r="1" spans="2:21" x14ac:dyDescent="0.25">
      <c r="E1" s="67" t="s">
        <v>10</v>
      </c>
      <c r="F1" s="69" t="s">
        <v>33</v>
      </c>
      <c r="G1" s="69" t="s">
        <v>20</v>
      </c>
    </row>
    <row r="2" spans="2:21" ht="14.45" customHeight="1" x14ac:dyDescent="0.25">
      <c r="B2" s="10" t="s">
        <v>6</v>
      </c>
      <c r="E2" s="67"/>
      <c r="F2" s="69"/>
      <c r="G2" s="69"/>
    </row>
    <row r="3" spans="2:21" ht="15.75" thickBot="1" x14ac:dyDescent="0.3">
      <c r="B3" s="14">
        <f ca="1">'Almost Histogram'!B3</f>
        <v>66.242934483345223</v>
      </c>
      <c r="E3" s="67"/>
      <c r="F3" s="69"/>
      <c r="G3" s="69"/>
    </row>
    <row r="4" spans="2:21" x14ac:dyDescent="0.25">
      <c r="B4" s="14">
        <f ca="1">'Almost Histogram'!B4</f>
        <v>64.733945362871481</v>
      </c>
      <c r="C4" s="3" t="s">
        <v>7</v>
      </c>
      <c r="D4" s="38" cm="1">
        <f t="array" aca="1" ref="D4:D6" ca="1">'Almost Histogram'!D4:D6</f>
        <v>72.965816474382478</v>
      </c>
      <c r="E4" s="13" cm="1">
        <f t="array" aca="1" ref="E4:E13" ca="1">'Almost Histogram'!E4:E13</f>
        <v>61.599999999999994</v>
      </c>
      <c r="F4" s="14" cm="1">
        <f t="array" aca="1" ref="F4:F14" ca="1">ROUND(FREQUENCY(B3:B124,E4:E13)/D6,2)</f>
        <v>6.15</v>
      </c>
      <c r="G4" s="12">
        <f t="shared" ref="G4:G13" ca="1" si="0">F4/COUNT(B:B)</f>
        <v>5.0409836065573775E-2</v>
      </c>
      <c r="H4" s="33">
        <f ca="1">E4-D6</f>
        <v>60.3</v>
      </c>
      <c r="I4" s="33" cm="1">
        <f t="array" aca="1" ref="I4:I13" ca="1">'Almost Histogram'!H4:H13</f>
        <v>60.968868572062917</v>
      </c>
      <c r="P4" s="53" t="str">
        <f ca="1">"The area of this bar is "&amp;F9&amp;"×"&amp;D6&amp;"="&amp;ROUND(D6*F9,0)&amp;" which is the frequency for this bin."</f>
        <v>The area of this bar is 15.38×1.3=20 which is the frequency for this bin.</v>
      </c>
      <c r="Q4" s="54"/>
      <c r="R4" s="54"/>
      <c r="S4" s="54"/>
      <c r="T4" s="54"/>
      <c r="U4" s="55"/>
    </row>
    <row r="5" spans="2:21" x14ac:dyDescent="0.25">
      <c r="B5" s="14">
        <f ca="1">'Almost Histogram'!B5</f>
        <v>66.20535912179669</v>
      </c>
      <c r="C5" s="3" t="s">
        <v>8</v>
      </c>
      <c r="D5" s="38">
        <f ca="1"/>
        <v>60.337737144125832</v>
      </c>
      <c r="E5" s="13">
        <f ca="1"/>
        <v>62.899999999999991</v>
      </c>
      <c r="F5" s="14">
        <f ca="1"/>
        <v>10</v>
      </c>
      <c r="G5" s="12">
        <f t="shared" ca="1" si="0"/>
        <v>8.1967213114754092E-2</v>
      </c>
      <c r="H5" s="33" t="s">
        <v>23</v>
      </c>
      <c r="I5" s="33">
        <f ca="1"/>
        <v>62.249999999999993</v>
      </c>
      <c r="P5" s="56"/>
      <c r="Q5" s="57"/>
      <c r="R5" s="57"/>
      <c r="S5" s="57"/>
      <c r="T5" s="57"/>
      <c r="U5" s="58"/>
    </row>
    <row r="6" spans="2:21" ht="15.75" thickBot="1" x14ac:dyDescent="0.3">
      <c r="B6" s="14">
        <f ca="1">'Almost Histogram'!B6</f>
        <v>70.566312528836036</v>
      </c>
      <c r="C6" t="s">
        <v>9</v>
      </c>
      <c r="D6" s="11">
        <f ca="1"/>
        <v>1.3</v>
      </c>
      <c r="E6" s="13">
        <f ca="1"/>
        <v>64.199999999999989</v>
      </c>
      <c r="F6" s="14">
        <f ca="1"/>
        <v>13.08</v>
      </c>
      <c r="G6" s="12">
        <f t="shared" ca="1" si="0"/>
        <v>0.10721311475409837</v>
      </c>
      <c r="H6" s="33" t="s">
        <v>24</v>
      </c>
      <c r="I6" s="33">
        <f ca="1"/>
        <v>63.54999999999999</v>
      </c>
      <c r="P6" s="59"/>
      <c r="Q6" s="60"/>
      <c r="R6" s="60"/>
      <c r="S6" s="60"/>
      <c r="T6" s="60"/>
      <c r="U6" s="61"/>
    </row>
    <row r="7" spans="2:21" x14ac:dyDescent="0.25">
      <c r="B7" s="14">
        <f ca="1">'Almost Histogram'!B7</f>
        <v>63.835344305202476</v>
      </c>
      <c r="E7" s="13">
        <f ca="1"/>
        <v>65.499999999999986</v>
      </c>
      <c r="F7" s="14">
        <f ca="1"/>
        <v>14.62</v>
      </c>
      <c r="G7" s="12">
        <f t="shared" ca="1" si="0"/>
        <v>0.11983606557377048</v>
      </c>
      <c r="H7" s="33">
        <f t="shared" ref="H7:H11" ca="1" si="1">E7-D9</f>
        <v>65.499999999999986</v>
      </c>
      <c r="I7" s="33">
        <f ca="1"/>
        <v>64.849999999999994</v>
      </c>
    </row>
    <row r="8" spans="2:21" ht="15.75" thickBot="1" x14ac:dyDescent="0.3">
      <c r="B8" s="14">
        <f ca="1">'Almost Histogram'!B8</f>
        <v>68.12539793235554</v>
      </c>
      <c r="E8" s="13">
        <f ca="1"/>
        <v>66.799999999999983</v>
      </c>
      <c r="F8" s="14">
        <f ca="1"/>
        <v>13.08</v>
      </c>
      <c r="G8" s="12">
        <f t="shared" ca="1" si="0"/>
        <v>0.10721311475409837</v>
      </c>
      <c r="H8" s="33" t="s">
        <v>23</v>
      </c>
      <c r="I8" s="33">
        <f ca="1"/>
        <v>66.149999999999977</v>
      </c>
    </row>
    <row r="9" spans="2:21" ht="15.75" customHeight="1" x14ac:dyDescent="0.25">
      <c r="B9" s="14">
        <f ca="1">'Almost Histogram'!B9</f>
        <v>70.406940346506488</v>
      </c>
      <c r="E9" s="13">
        <f ca="1"/>
        <v>68.09999999999998</v>
      </c>
      <c r="F9" s="49">
        <f ca="1"/>
        <v>15.38</v>
      </c>
      <c r="G9" s="50">
        <f t="shared" ca="1" si="0"/>
        <v>0.12606557377049182</v>
      </c>
      <c r="H9" s="33">
        <f ca="1">E9-D11</f>
        <v>68.09999999999998</v>
      </c>
      <c r="I9" s="33">
        <f ca="1"/>
        <v>67.449999999999989</v>
      </c>
      <c r="P9" s="53" t="s">
        <v>14</v>
      </c>
      <c r="Q9" s="54"/>
      <c r="R9" s="54"/>
      <c r="S9" s="54"/>
      <c r="T9" s="54"/>
      <c r="U9" s="55"/>
    </row>
    <row r="10" spans="2:21" ht="15" customHeight="1" x14ac:dyDescent="0.25">
      <c r="B10" s="14">
        <f ca="1">'Almost Histogram'!B10</f>
        <v>68.758300257521469</v>
      </c>
      <c r="E10" s="13">
        <f ca="1"/>
        <v>69.399999999999977</v>
      </c>
      <c r="F10" s="14">
        <f ca="1"/>
        <v>11.54</v>
      </c>
      <c r="G10" s="12">
        <f t="shared" ca="1" si="0"/>
        <v>9.4590163934426222E-2</v>
      </c>
      <c r="H10" s="33"/>
      <c r="I10" s="33">
        <f ca="1"/>
        <v>68.749999999999972</v>
      </c>
      <c r="P10" s="56"/>
      <c r="Q10" s="57"/>
      <c r="R10" s="57"/>
      <c r="S10" s="57"/>
      <c r="T10" s="57"/>
      <c r="U10" s="58"/>
    </row>
    <row r="11" spans="2:21" ht="14.45" customHeight="1" x14ac:dyDescent="0.25">
      <c r="B11" s="14">
        <f ca="1">'Almost Histogram'!B11</f>
        <v>68.052733629157672</v>
      </c>
      <c r="E11" s="13">
        <f ca="1"/>
        <v>70.699999999999974</v>
      </c>
      <c r="F11" s="14">
        <f ca="1"/>
        <v>7.69</v>
      </c>
      <c r="G11" s="12">
        <f t="shared" ca="1" si="0"/>
        <v>6.3032786885245912E-2</v>
      </c>
      <c r="H11" s="33">
        <f t="shared" ca="1" si="1"/>
        <v>70.699999999999974</v>
      </c>
      <c r="I11" s="33">
        <f ca="1"/>
        <v>70.049999999999983</v>
      </c>
      <c r="P11" s="56"/>
      <c r="Q11" s="57"/>
      <c r="R11" s="57"/>
      <c r="S11" s="57"/>
      <c r="T11" s="57"/>
      <c r="U11" s="58"/>
    </row>
    <row r="12" spans="2:21" ht="14.45" customHeight="1" x14ac:dyDescent="0.25">
      <c r="B12" s="14">
        <f ca="1">'Almost Histogram'!B12</f>
        <v>60.337737144125832</v>
      </c>
      <c r="E12" s="13">
        <f ca="1"/>
        <v>71.999999999999972</v>
      </c>
      <c r="F12" s="14">
        <f ca="1"/>
        <v>0.77</v>
      </c>
      <c r="G12" s="12">
        <f t="shared" ca="1" si="0"/>
        <v>6.3114754098360657E-3</v>
      </c>
      <c r="H12" s="33"/>
      <c r="I12" s="33">
        <f ca="1"/>
        <v>71.349999999999966</v>
      </c>
      <c r="P12" s="56"/>
      <c r="Q12" s="57"/>
      <c r="R12" s="57"/>
      <c r="S12" s="57"/>
      <c r="T12" s="57"/>
      <c r="U12" s="58"/>
    </row>
    <row r="13" spans="2:21" ht="14.45" customHeight="1" x14ac:dyDescent="0.25">
      <c r="B13" s="14">
        <f ca="1">'Almost Histogram'!B13</f>
        <v>66.232521294311383</v>
      </c>
      <c r="E13" s="13">
        <f ca="1"/>
        <v>73.299999999999969</v>
      </c>
      <c r="F13" s="14">
        <f ca="1"/>
        <v>1.54</v>
      </c>
      <c r="G13" s="12">
        <f t="shared" ca="1" si="0"/>
        <v>1.2622950819672131E-2</v>
      </c>
      <c r="H13" s="33"/>
      <c r="I13" s="33">
        <f ca="1"/>
        <v>72.649999999999977</v>
      </c>
      <c r="P13" s="56"/>
      <c r="Q13" s="57"/>
      <c r="R13" s="57"/>
      <c r="S13" s="57"/>
      <c r="T13" s="57"/>
      <c r="U13" s="58"/>
    </row>
    <row r="14" spans="2:21" ht="14.45" customHeight="1" x14ac:dyDescent="0.25">
      <c r="B14" s="14">
        <f ca="1">'Almost Histogram'!B14</f>
        <v>66.244666483025384</v>
      </c>
      <c r="F14" s="34">
        <f ca="1"/>
        <v>0</v>
      </c>
      <c r="H14" s="33">
        <f ca="1">E13</f>
        <v>73.299999999999969</v>
      </c>
      <c r="P14" s="56"/>
      <c r="Q14" s="57"/>
      <c r="R14" s="57"/>
      <c r="S14" s="57"/>
      <c r="T14" s="57"/>
      <c r="U14" s="58"/>
    </row>
    <row r="15" spans="2:21" ht="14.45" customHeight="1" x14ac:dyDescent="0.25">
      <c r="B15" s="14">
        <f ca="1">'Almost Histogram'!B15</f>
        <v>72.926828735755066</v>
      </c>
      <c r="E15" s="2" t="s">
        <v>13</v>
      </c>
      <c r="F15" s="10">
        <f ca="1">ROUND(SUM(F4:F13)*D6,0)</f>
        <v>122</v>
      </c>
      <c r="G15" s="32">
        <f ca="1">SUM(G4:G13)*D6</f>
        <v>1.0000409836065574</v>
      </c>
      <c r="P15" s="56"/>
      <c r="Q15" s="57"/>
      <c r="R15" s="57"/>
      <c r="S15" s="57"/>
      <c r="T15" s="57"/>
      <c r="U15" s="58"/>
    </row>
    <row r="16" spans="2:21" ht="14.45" customHeight="1" x14ac:dyDescent="0.25">
      <c r="B16" s="14">
        <f ca="1">'Almost Histogram'!B16</f>
        <v>70.680988386002909</v>
      </c>
      <c r="P16" s="56"/>
      <c r="Q16" s="57"/>
      <c r="R16" s="57"/>
      <c r="S16" s="57"/>
      <c r="T16" s="57"/>
      <c r="U16" s="58"/>
    </row>
    <row r="17" spans="2:21" ht="14.45" customHeight="1" x14ac:dyDescent="0.25">
      <c r="B17" s="14">
        <f ca="1">'Almost Histogram'!B17</f>
        <v>62.879952427261607</v>
      </c>
      <c r="P17" s="56"/>
      <c r="Q17" s="57"/>
      <c r="R17" s="57"/>
      <c r="S17" s="57"/>
      <c r="T17" s="57"/>
      <c r="U17" s="58"/>
    </row>
    <row r="18" spans="2:21" ht="14.45" customHeight="1" thickBot="1" x14ac:dyDescent="0.3">
      <c r="B18" s="14">
        <f ca="1">'Almost Histogram'!B18</f>
        <v>66.520814865113479</v>
      </c>
      <c r="P18" s="59"/>
      <c r="Q18" s="60"/>
      <c r="R18" s="60"/>
      <c r="S18" s="60"/>
      <c r="T18" s="60"/>
      <c r="U18" s="61"/>
    </row>
    <row r="19" spans="2:21" ht="15.75" thickBot="1" x14ac:dyDescent="0.3">
      <c r="B19" s="14">
        <f ca="1">'Almost Histogram'!B19</f>
        <v>65.799904367928704</v>
      </c>
    </row>
    <row r="20" spans="2:21" ht="14.45" customHeight="1" x14ac:dyDescent="0.25">
      <c r="B20" s="14">
        <f ca="1">'Almost Histogram'!B20</f>
        <v>63.813916334643544</v>
      </c>
      <c r="P20" s="53" t="s">
        <v>34</v>
      </c>
      <c r="Q20" s="54"/>
      <c r="R20" s="54"/>
      <c r="S20" s="54"/>
      <c r="T20" s="54"/>
      <c r="U20" s="55"/>
    </row>
    <row r="21" spans="2:21" ht="14.45" customHeight="1" x14ac:dyDescent="0.25">
      <c r="B21" s="14">
        <f ca="1">'Almost Histogram'!B21</f>
        <v>64.136402301466291</v>
      </c>
      <c r="P21" s="56"/>
      <c r="Q21" s="57"/>
      <c r="R21" s="57"/>
      <c r="S21" s="57"/>
      <c r="T21" s="57"/>
      <c r="U21" s="58"/>
    </row>
    <row r="22" spans="2:21" ht="14.45" customHeight="1" x14ac:dyDescent="0.25">
      <c r="B22" s="14">
        <f ca="1">'Almost Histogram'!B22</f>
        <v>62.786435009059964</v>
      </c>
      <c r="P22" s="56"/>
      <c r="Q22" s="57"/>
      <c r="R22" s="57"/>
      <c r="S22" s="57"/>
      <c r="T22" s="57"/>
      <c r="U22" s="58"/>
    </row>
    <row r="23" spans="2:21" ht="14.45" customHeight="1" x14ac:dyDescent="0.25">
      <c r="B23" s="14">
        <f ca="1">'Almost Histogram'!B23</f>
        <v>69.568648923401881</v>
      </c>
      <c r="P23" s="56"/>
      <c r="Q23" s="57"/>
      <c r="R23" s="57"/>
      <c r="S23" s="57"/>
      <c r="T23" s="57"/>
      <c r="U23" s="58"/>
    </row>
    <row r="24" spans="2:21" ht="14.45" customHeight="1" x14ac:dyDescent="0.25">
      <c r="B24" s="14">
        <f ca="1">'Almost Histogram'!B24</f>
        <v>64.317414586693502</v>
      </c>
      <c r="P24" s="56"/>
      <c r="Q24" s="57"/>
      <c r="R24" s="57"/>
      <c r="S24" s="57"/>
      <c r="T24" s="57"/>
      <c r="U24" s="58"/>
    </row>
    <row r="25" spans="2:21" ht="15.75" thickBot="1" x14ac:dyDescent="0.3">
      <c r="B25" s="14">
        <f ca="1">'Almost Histogram'!B25</f>
        <v>66.061558501820087</v>
      </c>
      <c r="P25" s="59"/>
      <c r="Q25" s="60"/>
      <c r="R25" s="60"/>
      <c r="S25" s="60"/>
      <c r="T25" s="60"/>
      <c r="U25" s="61"/>
    </row>
    <row r="26" spans="2:21" ht="15.75" thickBot="1" x14ac:dyDescent="0.3">
      <c r="B26" s="14">
        <f ca="1">'Almost Histogram'!B26</f>
        <v>65.765903101851904</v>
      </c>
    </row>
    <row r="27" spans="2:21" x14ac:dyDescent="0.25">
      <c r="B27" s="14">
        <f ca="1">'Almost Histogram'!B27</f>
        <v>66.820491715120312</v>
      </c>
      <c r="P27" s="53" t="str">
        <f ca="1">"The area of this bar is "&amp;ROUND(G9*100,2)&amp;"%×"&amp;D6&amp;"="&amp;ROUND(D6*G9*100,2)&amp;"% which is the frequency for this bin."</f>
        <v>The area of this bar is 12.61%×1.3=16.39% which is the frequency for this bin.</v>
      </c>
      <c r="Q27" s="54"/>
      <c r="R27" s="54"/>
      <c r="S27" s="54"/>
      <c r="T27" s="54"/>
      <c r="U27" s="55"/>
    </row>
    <row r="28" spans="2:21" x14ac:dyDescent="0.25">
      <c r="B28" s="14">
        <f ca="1">'Almost Histogram'!B28</f>
        <v>68.263157362157685</v>
      </c>
      <c r="P28" s="56"/>
      <c r="Q28" s="57"/>
      <c r="R28" s="57"/>
      <c r="S28" s="57"/>
      <c r="T28" s="57"/>
      <c r="U28" s="58"/>
    </row>
    <row r="29" spans="2:21" ht="15.75" thickBot="1" x14ac:dyDescent="0.3">
      <c r="B29" s="14">
        <f ca="1">'Almost Histogram'!B29</f>
        <v>63.751664011456583</v>
      </c>
      <c r="P29" s="59"/>
      <c r="Q29" s="60"/>
      <c r="R29" s="60"/>
      <c r="S29" s="60"/>
      <c r="T29" s="60"/>
      <c r="U29" s="61"/>
    </row>
    <row r="30" spans="2:21" x14ac:dyDescent="0.25">
      <c r="B30" s="14">
        <f ca="1">'Almost Histogram'!B30</f>
        <v>61.139526115604589</v>
      </c>
    </row>
    <row r="31" spans="2:21" x14ac:dyDescent="0.25">
      <c r="B31" s="14">
        <f ca="1">'Almost Histogram'!B31</f>
        <v>61.832624825508717</v>
      </c>
    </row>
    <row r="32" spans="2:21" ht="15.75" thickBot="1" x14ac:dyDescent="0.3">
      <c r="B32" s="14">
        <f ca="1">'Almost Histogram'!B32</f>
        <v>64.458155759942073</v>
      </c>
    </row>
    <row r="33" spans="2:12" ht="15.75" thickBot="1" x14ac:dyDescent="0.3">
      <c r="B33" s="14">
        <f ca="1">'Almost Histogram'!B33</f>
        <v>71.43623843106856</v>
      </c>
      <c r="I33" s="79" t="s">
        <v>35</v>
      </c>
      <c r="J33" s="80"/>
      <c r="K33" s="80"/>
      <c r="L33" s="81"/>
    </row>
    <row r="34" spans="2:12" x14ac:dyDescent="0.25">
      <c r="B34" s="14">
        <f ca="1">'Almost Histogram'!B34</f>
        <v>70.380261068021241</v>
      </c>
      <c r="I34" s="65" t="s">
        <v>36</v>
      </c>
      <c r="J34" s="65"/>
      <c r="K34" s="65"/>
      <c r="L34" s="65"/>
    </row>
    <row r="35" spans="2:12" x14ac:dyDescent="0.25">
      <c r="B35" s="14">
        <f ca="1">'Almost Histogram'!B35</f>
        <v>67.958562513892531</v>
      </c>
    </row>
    <row r="36" spans="2:12" x14ac:dyDescent="0.25">
      <c r="B36" s="14">
        <f ca="1">'Almost Histogram'!B36</f>
        <v>67.050559490969547</v>
      </c>
    </row>
    <row r="37" spans="2:12" x14ac:dyDescent="0.25">
      <c r="B37" s="14">
        <f ca="1">'Almost Histogram'!B37</f>
        <v>67.724337352905977</v>
      </c>
    </row>
    <row r="38" spans="2:12" x14ac:dyDescent="0.25">
      <c r="B38" s="14">
        <f ca="1">'Almost Histogram'!B38</f>
        <v>62.770845880537131</v>
      </c>
    </row>
    <row r="39" spans="2:12" x14ac:dyDescent="0.25">
      <c r="B39" s="14">
        <f ca="1">'Almost Histogram'!B39</f>
        <v>62.293042269721461</v>
      </c>
    </row>
    <row r="40" spans="2:12" x14ac:dyDescent="0.25">
      <c r="B40" s="14">
        <f ca="1">'Almost Histogram'!B40</f>
        <v>65.536563806302993</v>
      </c>
    </row>
    <row r="41" spans="2:12" x14ac:dyDescent="0.25">
      <c r="B41" s="14">
        <f ca="1">'Almost Histogram'!B41</f>
        <v>67.207745864465835</v>
      </c>
    </row>
    <row r="42" spans="2:12" x14ac:dyDescent="0.25">
      <c r="B42" s="14">
        <f ca="1">'Almost Histogram'!B42</f>
        <v>62.547370272693669</v>
      </c>
    </row>
    <row r="43" spans="2:12" x14ac:dyDescent="0.25">
      <c r="B43" s="14">
        <f ca="1">'Almost Histogram'!B43</f>
        <v>69.392140184375819</v>
      </c>
    </row>
    <row r="44" spans="2:12" x14ac:dyDescent="0.25">
      <c r="B44" s="14">
        <f ca="1">'Almost Histogram'!B44</f>
        <v>67.729854637108858</v>
      </c>
    </row>
    <row r="45" spans="2:12" x14ac:dyDescent="0.25">
      <c r="B45" s="14">
        <f ca="1">'Almost Histogram'!B45</f>
        <v>66.083867300281312</v>
      </c>
    </row>
    <row r="46" spans="2:12" x14ac:dyDescent="0.25">
      <c r="B46" s="14">
        <f ca="1">'Almost Histogram'!B46</f>
        <v>67.317733735635542</v>
      </c>
    </row>
    <row r="47" spans="2:12" x14ac:dyDescent="0.25">
      <c r="B47" s="14">
        <f ca="1">'Almost Histogram'!B47</f>
        <v>66.770176536641756</v>
      </c>
    </row>
    <row r="48" spans="2:12" x14ac:dyDescent="0.25">
      <c r="B48" s="14">
        <f ca="1">'Almost Histogram'!B48</f>
        <v>65.802601715232484</v>
      </c>
    </row>
    <row r="49" spans="2:2" x14ac:dyDescent="0.25">
      <c r="B49" s="14">
        <f ca="1">'Almost Histogram'!B49</f>
        <v>60.686868681992188</v>
      </c>
    </row>
    <row r="50" spans="2:2" x14ac:dyDescent="0.25">
      <c r="B50" s="14">
        <f ca="1">'Almost Histogram'!B50</f>
        <v>70.631436966120845</v>
      </c>
    </row>
    <row r="51" spans="2:2" x14ac:dyDescent="0.25">
      <c r="B51" s="14">
        <f ca="1">'Almost Histogram'!B51</f>
        <v>67.822231309414491</v>
      </c>
    </row>
    <row r="52" spans="2:2" x14ac:dyDescent="0.25">
      <c r="B52" s="14">
        <f ca="1">'Almost Histogram'!B52</f>
        <v>65.451083517140262</v>
      </c>
    </row>
    <row r="53" spans="2:2" x14ac:dyDescent="0.25">
      <c r="B53" s="14">
        <f ca="1">'Almost Histogram'!B53</f>
        <v>69.889156638810135</v>
      </c>
    </row>
    <row r="54" spans="2:2" x14ac:dyDescent="0.25">
      <c r="B54" s="14">
        <f ca="1">'Almost Histogram'!B54</f>
        <v>62.575792941732757</v>
      </c>
    </row>
    <row r="55" spans="2:2" x14ac:dyDescent="0.25">
      <c r="B55" s="14">
        <f ca="1">'Almost Histogram'!B55</f>
        <v>68.790168500099284</v>
      </c>
    </row>
    <row r="56" spans="2:2" x14ac:dyDescent="0.25">
      <c r="B56" s="14">
        <f ca="1">'Almost Histogram'!B56</f>
        <v>65.195396415878776</v>
      </c>
    </row>
    <row r="57" spans="2:2" x14ac:dyDescent="0.25">
      <c r="B57" s="14">
        <f ca="1">'Almost Histogram'!B57</f>
        <v>67.083526236133267</v>
      </c>
    </row>
    <row r="58" spans="2:2" x14ac:dyDescent="0.25">
      <c r="B58" s="14">
        <f ca="1">'Almost Histogram'!B58</f>
        <v>69.226471004443937</v>
      </c>
    </row>
    <row r="59" spans="2:2" x14ac:dyDescent="0.25">
      <c r="B59" s="14">
        <f ca="1">'Almost Histogram'!B59</f>
        <v>61.030827750936695</v>
      </c>
    </row>
    <row r="60" spans="2:2" x14ac:dyDescent="0.25">
      <c r="B60" s="14">
        <f ca="1">'Almost Histogram'!B60</f>
        <v>63.986155098356939</v>
      </c>
    </row>
    <row r="61" spans="2:2" x14ac:dyDescent="0.25">
      <c r="B61" s="14">
        <f ca="1">'Almost Histogram'!B61</f>
        <v>63.699223418430471</v>
      </c>
    </row>
    <row r="62" spans="2:2" x14ac:dyDescent="0.25">
      <c r="B62" s="14">
        <f ca="1">'Almost Histogram'!B62</f>
        <v>60.524657455882306</v>
      </c>
    </row>
    <row r="63" spans="2:2" x14ac:dyDescent="0.25">
      <c r="B63" s="14">
        <f ca="1">'Almost Histogram'!B63</f>
        <v>63.690036126164046</v>
      </c>
    </row>
    <row r="64" spans="2:2" x14ac:dyDescent="0.25">
      <c r="B64" s="14">
        <f ca="1">'Almost Histogram'!B64</f>
        <v>68.393102668615157</v>
      </c>
    </row>
    <row r="65" spans="2:2" x14ac:dyDescent="0.25">
      <c r="B65" s="14">
        <f ca="1">'Almost Histogram'!B65</f>
        <v>72.965816474382478</v>
      </c>
    </row>
    <row r="66" spans="2:2" x14ac:dyDescent="0.25">
      <c r="B66" s="14">
        <f ca="1">'Almost Histogram'!B66</f>
        <v>69.132891507536783</v>
      </c>
    </row>
    <row r="67" spans="2:2" x14ac:dyDescent="0.25">
      <c r="B67" s="14">
        <f ca="1">'Almost Histogram'!B67</f>
        <v>64.560732642842893</v>
      </c>
    </row>
    <row r="68" spans="2:2" x14ac:dyDescent="0.25">
      <c r="B68" s="14">
        <f ca="1">'Almost Histogram'!B68</f>
        <v>65.06553956316084</v>
      </c>
    </row>
    <row r="69" spans="2:2" x14ac:dyDescent="0.25">
      <c r="B69" s="14">
        <f ca="1">'Almost Histogram'!B69</f>
        <v>67.584435173268702</v>
      </c>
    </row>
    <row r="70" spans="2:2" x14ac:dyDescent="0.25">
      <c r="B70" s="14">
        <f ca="1">'Almost Histogram'!B70</f>
        <v>63.388505838246573</v>
      </c>
    </row>
    <row r="71" spans="2:2" x14ac:dyDescent="0.25">
      <c r="B71" s="14">
        <f ca="1">'Almost Histogram'!B71</f>
        <v>68.826396011148987</v>
      </c>
    </row>
    <row r="72" spans="2:2" x14ac:dyDescent="0.25">
      <c r="B72" s="14">
        <f ca="1">'Almost Histogram'!B72</f>
        <v>66.901953310334136</v>
      </c>
    </row>
    <row r="73" spans="2:2" x14ac:dyDescent="0.25">
      <c r="B73" s="14">
        <f ca="1">'Almost Histogram'!B73</f>
        <v>66.847864430089132</v>
      </c>
    </row>
    <row r="74" spans="2:2" x14ac:dyDescent="0.25">
      <c r="B74" s="14">
        <f ca="1">'Almost Histogram'!B74</f>
        <v>63.959480931125611</v>
      </c>
    </row>
    <row r="75" spans="2:2" x14ac:dyDescent="0.25">
      <c r="B75" s="14">
        <f ca="1">'Almost Histogram'!B75</f>
        <v>67.00248895781742</v>
      </c>
    </row>
    <row r="76" spans="2:2" x14ac:dyDescent="0.25">
      <c r="B76" s="14">
        <f ca="1">'Almost Histogram'!B76</f>
        <v>61.846276541973559</v>
      </c>
    </row>
    <row r="77" spans="2:2" x14ac:dyDescent="0.25">
      <c r="B77" s="14">
        <f ca="1">'Almost Histogram'!B77</f>
        <v>68.749918497984808</v>
      </c>
    </row>
    <row r="78" spans="2:2" x14ac:dyDescent="0.25">
      <c r="B78" s="14">
        <f ca="1">'Almost Histogram'!B78</f>
        <v>67.412689056446894</v>
      </c>
    </row>
    <row r="79" spans="2:2" x14ac:dyDescent="0.25">
      <c r="B79" s="14">
        <f ca="1">'Almost Histogram'!B79</f>
        <v>68.295978068811891</v>
      </c>
    </row>
    <row r="80" spans="2:2" x14ac:dyDescent="0.25">
      <c r="B80" s="14">
        <f ca="1">'Almost Histogram'!B80</f>
        <v>63.508756989083238</v>
      </c>
    </row>
    <row r="81" spans="2:2" x14ac:dyDescent="0.25">
      <c r="B81" s="14">
        <f ca="1">'Almost Histogram'!B81</f>
        <v>61.360217869183117</v>
      </c>
    </row>
    <row r="82" spans="2:2" x14ac:dyDescent="0.25">
      <c r="B82" s="14">
        <f ca="1">'Almost Histogram'!B82</f>
        <v>70.181761015750197</v>
      </c>
    </row>
    <row r="83" spans="2:2" x14ac:dyDescent="0.25">
      <c r="B83" s="14">
        <f ca="1">'Almost Histogram'!B83</f>
        <v>67.717765900309033</v>
      </c>
    </row>
    <row r="84" spans="2:2" x14ac:dyDescent="0.25">
      <c r="B84" s="14">
        <f ca="1">'Almost Histogram'!B84</f>
        <v>66.949422645155238</v>
      </c>
    </row>
    <row r="85" spans="2:2" x14ac:dyDescent="0.25">
      <c r="B85" s="14">
        <f ca="1">'Almost Histogram'!B85</f>
        <v>67.580467316864755</v>
      </c>
    </row>
    <row r="86" spans="2:2" x14ac:dyDescent="0.25">
      <c r="B86" s="14">
        <f ca="1">'Almost Histogram'!B86</f>
        <v>65.615480189559364</v>
      </c>
    </row>
    <row r="87" spans="2:2" x14ac:dyDescent="0.25">
      <c r="B87" s="14">
        <f ca="1">'Almost Histogram'!B87</f>
        <v>64.663874146530233</v>
      </c>
    </row>
    <row r="88" spans="2:2" x14ac:dyDescent="0.25">
      <c r="B88" s="14">
        <f ca="1">'Almost Histogram'!B88</f>
        <v>63.554668904705267</v>
      </c>
    </row>
    <row r="89" spans="2:2" x14ac:dyDescent="0.25">
      <c r="B89" s="14">
        <f ca="1">'Almost Histogram'!B89</f>
        <v>64.212661108492156</v>
      </c>
    </row>
    <row r="90" spans="2:2" x14ac:dyDescent="0.25">
      <c r="B90" s="14">
        <f ca="1">'Almost Histogram'!B90</f>
        <v>63.582420345152578</v>
      </c>
    </row>
    <row r="91" spans="2:2" x14ac:dyDescent="0.25">
      <c r="B91" s="14">
        <f ca="1">'Almost Histogram'!B91</f>
        <v>62.866769667379245</v>
      </c>
    </row>
    <row r="92" spans="2:2" x14ac:dyDescent="0.25">
      <c r="B92" s="14">
        <f ca="1">'Almost Histogram'!B92</f>
        <v>69.763586669985443</v>
      </c>
    </row>
    <row r="93" spans="2:2" x14ac:dyDescent="0.25">
      <c r="B93" s="14">
        <f ca="1">'Almost Histogram'!B93</f>
        <v>66.019920085971251</v>
      </c>
    </row>
    <row r="94" spans="2:2" x14ac:dyDescent="0.25">
      <c r="B94" s="14">
        <f ca="1">'Almost Histogram'!B94</f>
        <v>68.577897562400949</v>
      </c>
    </row>
    <row r="95" spans="2:2" x14ac:dyDescent="0.25">
      <c r="B95" s="14">
        <f ca="1">'Almost Histogram'!B95</f>
        <v>62.928766757172859</v>
      </c>
    </row>
    <row r="96" spans="2:2" x14ac:dyDescent="0.25">
      <c r="B96" s="14">
        <f ca="1">'Almost Histogram'!B96</f>
        <v>60.650378600522203</v>
      </c>
    </row>
    <row r="97" spans="2:2" x14ac:dyDescent="0.25">
      <c r="B97" s="14">
        <f ca="1">'Almost Histogram'!B97</f>
        <v>62.55492046456169</v>
      </c>
    </row>
    <row r="98" spans="2:2" x14ac:dyDescent="0.25">
      <c r="B98" s="14">
        <f ca="1">'Almost Histogram'!B98</f>
        <v>64.339837049717559</v>
      </c>
    </row>
    <row r="99" spans="2:2" x14ac:dyDescent="0.25">
      <c r="B99" s="14">
        <f ca="1">'Almost Histogram'!B99</f>
        <v>64.601510691071496</v>
      </c>
    </row>
    <row r="100" spans="2:2" x14ac:dyDescent="0.25">
      <c r="B100" s="14">
        <f ca="1">'Almost Histogram'!B100</f>
        <v>69.18219008879332</v>
      </c>
    </row>
    <row r="101" spans="2:2" x14ac:dyDescent="0.25">
      <c r="B101" s="14">
        <f ca="1">'Almost Histogram'!B101</f>
        <v>65.18081678544219</v>
      </c>
    </row>
    <row r="102" spans="2:2" x14ac:dyDescent="0.25">
      <c r="B102" s="14">
        <f ca="1">'Almost Histogram'!B102</f>
        <v>62.53000958906641</v>
      </c>
    </row>
    <row r="103" spans="2:2" x14ac:dyDescent="0.25">
      <c r="B103" s="14">
        <f ca="1">'Almost Histogram'!B103</f>
        <v>67.023429216239364</v>
      </c>
    </row>
    <row r="104" spans="2:2" x14ac:dyDescent="0.25">
      <c r="B104" s="14">
        <f ca="1">'Almost Histogram'!B104</f>
        <v>65.419694574125401</v>
      </c>
    </row>
    <row r="105" spans="2:2" x14ac:dyDescent="0.25">
      <c r="B105" s="14">
        <f ca="1">'Almost Histogram'!B105</f>
        <v>64.527943122945032</v>
      </c>
    </row>
    <row r="106" spans="2:2" x14ac:dyDescent="0.25">
      <c r="B106" s="14">
        <f ca="1">'Almost Histogram'!B106</f>
        <v>63.990051817670349</v>
      </c>
    </row>
    <row r="107" spans="2:2" x14ac:dyDescent="0.25">
      <c r="B107" s="14">
        <f ca="1">'Almost Histogram'!B107</f>
        <v>64.048047928929293</v>
      </c>
    </row>
    <row r="108" spans="2:2" x14ac:dyDescent="0.25">
      <c r="B108" s="14">
        <f ca="1">'Almost Histogram'!B108</f>
        <v>66.004054158487477</v>
      </c>
    </row>
    <row r="109" spans="2:2" x14ac:dyDescent="0.25">
      <c r="B109" s="14">
        <f ca="1">'Almost Histogram'!B109</f>
        <v>63.730839164069721</v>
      </c>
    </row>
    <row r="110" spans="2:2" x14ac:dyDescent="0.25">
      <c r="B110" s="14">
        <f ca="1">'Almost Histogram'!B110</f>
        <v>64.306882565104132</v>
      </c>
    </row>
    <row r="111" spans="2:2" x14ac:dyDescent="0.25">
      <c r="B111" s="14">
        <f ca="1">'Almost Histogram'!B111</f>
        <v>65.939897352211545</v>
      </c>
    </row>
    <row r="112" spans="2:2" x14ac:dyDescent="0.25">
      <c r="B112" s="14">
        <f ca="1">'Almost Histogram'!B112</f>
        <v>64.462662881571831</v>
      </c>
    </row>
    <row r="113" spans="2:2" x14ac:dyDescent="0.25">
      <c r="B113" s="14">
        <f ca="1">'Almost Histogram'!B113</f>
        <v>68.607508675355433</v>
      </c>
    </row>
    <row r="114" spans="2:2" x14ac:dyDescent="0.25">
      <c r="B114" s="14">
        <f ca="1">'Almost Histogram'!B114</f>
        <v>64.862267423302882</v>
      </c>
    </row>
    <row r="115" spans="2:2" x14ac:dyDescent="0.25">
      <c r="B115" s="14">
        <f ca="1">'Almost Histogram'!B115</f>
        <v>65.029873080459183</v>
      </c>
    </row>
    <row r="116" spans="2:2" x14ac:dyDescent="0.25">
      <c r="B116" s="14">
        <f ca="1">'Almost Histogram'!B116</f>
        <v>60.474622861672934</v>
      </c>
    </row>
    <row r="117" spans="2:2" x14ac:dyDescent="0.25">
      <c r="B117" s="14">
        <f ca="1">'Almost Histogram'!B117</f>
        <v>66.903253566519751</v>
      </c>
    </row>
    <row r="118" spans="2:2" x14ac:dyDescent="0.25">
      <c r="B118" s="14">
        <f ca="1">'Almost Histogram'!B118</f>
        <v>61.708456177973119</v>
      </c>
    </row>
    <row r="119" spans="2:2" x14ac:dyDescent="0.25">
      <c r="B119" s="14">
        <f ca="1">'Almost Histogram'!B119</f>
        <v>64.37725790007093</v>
      </c>
    </row>
    <row r="120" spans="2:2" x14ac:dyDescent="0.25">
      <c r="B120" s="14">
        <f ca="1">'Almost Histogram'!B120</f>
        <v>68.591284302048706</v>
      </c>
    </row>
    <row r="121" spans="2:2" x14ac:dyDescent="0.25">
      <c r="B121" s="14">
        <f ca="1">'Almost Histogram'!B121</f>
        <v>70.403276438005832</v>
      </c>
    </row>
    <row r="122" spans="2:2" x14ac:dyDescent="0.25">
      <c r="B122" s="14">
        <f ca="1">'Almost Histogram'!B122</f>
        <v>62.94308564332897</v>
      </c>
    </row>
    <row r="123" spans="2:2" x14ac:dyDescent="0.25">
      <c r="B123" s="14">
        <f ca="1">'Almost Histogram'!B123</f>
        <v>65.928881334843581</v>
      </c>
    </row>
    <row r="124" spans="2:2" x14ac:dyDescent="0.25">
      <c r="B124" s="14">
        <f ca="1">'Almost Histogram'!B124</f>
        <v>62.630583080097253</v>
      </c>
    </row>
  </sheetData>
  <mergeCells count="9">
    <mergeCell ref="P27:U29"/>
    <mergeCell ref="F1:F3"/>
    <mergeCell ref="E1:E3"/>
    <mergeCell ref="I33:L33"/>
    <mergeCell ref="I34:L34"/>
    <mergeCell ref="P20:U25"/>
    <mergeCell ref="G1:G3"/>
    <mergeCell ref="P4:U6"/>
    <mergeCell ref="P9:U18"/>
  </mergeCells>
  <hyperlinks>
    <hyperlink ref="I33:L33" r:id="rId1" display="Video For this." xr:uid="{3111D81F-048C-4ADD-AACC-821EB52A2F8C}"/>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AC1E6-EE27-427F-8F53-2E12FAD4F482}">
  <dimension ref="B2:U124"/>
  <sheetViews>
    <sheetView zoomScaleNormal="100" workbookViewId="0">
      <selection activeCell="P31" sqref="P31"/>
    </sheetView>
  </sheetViews>
  <sheetFormatPr defaultRowHeight="15" x14ac:dyDescent="0.25"/>
  <cols>
    <col min="1" max="1" width="2.28515625" customWidth="1"/>
    <col min="2" max="2" width="8.85546875" style="4"/>
    <col min="3" max="3" width="8.85546875" style="31" customWidth="1"/>
    <col min="4" max="4" width="9.7109375" customWidth="1"/>
    <col min="5" max="5" width="9.42578125" customWidth="1"/>
    <col min="7" max="7" width="10" customWidth="1"/>
  </cols>
  <sheetData>
    <row r="2" spans="2:7" x14ac:dyDescent="0.25">
      <c r="B2" s="10" t="str">
        <f>'Almost Histogram'!B2</f>
        <v>Heights</v>
      </c>
      <c r="D2" s="67" t="s">
        <v>15</v>
      </c>
      <c r="E2" s="68" t="s">
        <v>11</v>
      </c>
      <c r="F2" s="68" t="s">
        <v>16</v>
      </c>
      <c r="G2" s="67" t="s">
        <v>17</v>
      </c>
    </row>
    <row r="3" spans="2:7" x14ac:dyDescent="0.25">
      <c r="B3" s="14">
        <f ca="1">'Almost Histogram'!B3</f>
        <v>66.242934483345223</v>
      </c>
      <c r="C3" s="31">
        <v>0</v>
      </c>
      <c r="D3" s="67"/>
      <c r="E3" s="68"/>
      <c r="F3" s="68"/>
      <c r="G3" s="67"/>
    </row>
    <row r="4" spans="2:7" x14ac:dyDescent="0.25">
      <c r="B4" s="14">
        <f ca="1">'Almost Histogram'!B4</f>
        <v>64.733945362871481</v>
      </c>
      <c r="C4" s="31">
        <v>0</v>
      </c>
      <c r="D4" s="4">
        <f ca="1">'Histogram (Equal Bin Width)'!E6</f>
        <v>64.199999999999989</v>
      </c>
      <c r="E4" s="5">
        <f t="array" aca="1" ref="E4:E7" ca="1">FREQUENCY(B:B,D4:D6)</f>
        <v>38</v>
      </c>
      <c r="F4" s="4">
        <f ca="1">D4-E9</f>
        <v>3.8999999999999915</v>
      </c>
      <c r="G4" s="14">
        <f ca="1">E4/F4</f>
        <v>9.743589743589764</v>
      </c>
    </row>
    <row r="5" spans="2:7" x14ac:dyDescent="0.25">
      <c r="B5" s="14">
        <f ca="1">'Almost Histogram'!B5</f>
        <v>66.20535912179669</v>
      </c>
      <c r="C5" s="31">
        <v>0</v>
      </c>
      <c r="D5" s="4">
        <f ca="1">'Histogram (Equal Bin Width)'!E8</f>
        <v>66.799999999999983</v>
      </c>
      <c r="E5" s="4">
        <f ca="1"/>
        <v>36</v>
      </c>
      <c r="F5" s="4">
        <f ca="1">D5-D4</f>
        <v>2.5999999999999943</v>
      </c>
      <c r="G5" s="14">
        <f t="shared" ref="G5:G7" ca="1" si="0">E5/F5</f>
        <v>13.846153846153877</v>
      </c>
    </row>
    <row r="6" spans="2:7" x14ac:dyDescent="0.25">
      <c r="B6" s="14">
        <f ca="1">'Almost Histogram'!B6</f>
        <v>70.566312528836036</v>
      </c>
      <c r="C6" s="31">
        <v>0</v>
      </c>
      <c r="D6" s="4">
        <f ca="1">'Histogram (Equal Bin Width)'!E10</f>
        <v>69.399999999999977</v>
      </c>
      <c r="E6" s="4">
        <f ca="1"/>
        <v>35</v>
      </c>
      <c r="F6" s="4">
        <f ca="1">D6-D5</f>
        <v>2.5999999999999943</v>
      </c>
      <c r="G6" s="14">
        <f t="shared" ca="1" si="0"/>
        <v>13.46153846153849</v>
      </c>
    </row>
    <row r="7" spans="2:7" x14ac:dyDescent="0.25">
      <c r="B7" s="14">
        <f ca="1">'Almost Histogram'!B7</f>
        <v>63.835344305202476</v>
      </c>
      <c r="C7" s="31">
        <v>0</v>
      </c>
      <c r="D7" s="4">
        <f ca="1">'Histogram (Equal Bin Width)'!E13</f>
        <v>73.299999999999969</v>
      </c>
      <c r="E7" s="4">
        <f ca="1"/>
        <v>13</v>
      </c>
      <c r="F7" s="4">
        <f ca="1">D7-D6</f>
        <v>3.8999999999999915</v>
      </c>
      <c r="G7" s="14">
        <f t="shared" ca="1" si="0"/>
        <v>3.3333333333333406</v>
      </c>
    </row>
    <row r="8" spans="2:7" ht="15.75" thickBot="1" x14ac:dyDescent="0.3">
      <c r="B8" s="14">
        <f ca="1">'Almost Histogram'!B8</f>
        <v>68.12539793235554</v>
      </c>
      <c r="C8" s="31">
        <v>0</v>
      </c>
    </row>
    <row r="9" spans="2:7" x14ac:dyDescent="0.25">
      <c r="B9" s="14">
        <f ca="1">'Almost Histogram'!B9</f>
        <v>70.406940346506488</v>
      </c>
      <c r="C9" s="31">
        <v>0</v>
      </c>
      <c r="D9" s="16" t="s">
        <v>18</v>
      </c>
      <c r="E9" s="17">
        <f ca="1">ROUND('Almost Histogram'!D5,1)</f>
        <v>60.3</v>
      </c>
      <c r="F9" s="18">
        <v>0</v>
      </c>
    </row>
    <row r="10" spans="2:7" x14ac:dyDescent="0.25">
      <c r="B10" s="14">
        <f ca="1">'Almost Histogram'!B10</f>
        <v>68.758300257521469</v>
      </c>
      <c r="C10" s="31">
        <v>0</v>
      </c>
      <c r="D10" s="19"/>
      <c r="E10" s="6">
        <f ca="1">E9</f>
        <v>60.3</v>
      </c>
      <c r="F10" s="20">
        <f ca="1">G4</f>
        <v>9.743589743589764</v>
      </c>
    </row>
    <row r="11" spans="2:7" x14ac:dyDescent="0.25">
      <c r="B11" s="14">
        <f ca="1">'Almost Histogram'!B11</f>
        <v>68.052733629157672</v>
      </c>
      <c r="C11" s="31">
        <v>0</v>
      </c>
      <c r="D11" s="19"/>
      <c r="E11" s="6">
        <f ca="1">(E10+E12)/2</f>
        <v>62.249999999999993</v>
      </c>
      <c r="F11" s="20">
        <f ca="1">F10</f>
        <v>9.743589743589764</v>
      </c>
    </row>
    <row r="12" spans="2:7" x14ac:dyDescent="0.25">
      <c r="B12" s="14">
        <f ca="1">'Almost Histogram'!B12</f>
        <v>60.337737144125832</v>
      </c>
      <c r="C12" s="31">
        <v>0</v>
      </c>
      <c r="D12" s="19"/>
      <c r="E12" s="6">
        <f ca="1">D4</f>
        <v>64.199999999999989</v>
      </c>
      <c r="F12" s="20">
        <f ca="1">G4</f>
        <v>9.743589743589764</v>
      </c>
    </row>
    <row r="13" spans="2:7" x14ac:dyDescent="0.25">
      <c r="B13" s="14">
        <f ca="1">'Almost Histogram'!B13</f>
        <v>66.232521294311383</v>
      </c>
      <c r="C13" s="31">
        <v>0</v>
      </c>
      <c r="D13" s="21" t="s">
        <v>19</v>
      </c>
      <c r="E13" s="6">
        <f ca="1">D4</f>
        <v>64.199999999999989</v>
      </c>
      <c r="F13" s="20">
        <v>0</v>
      </c>
    </row>
    <row r="14" spans="2:7" x14ac:dyDescent="0.25">
      <c r="B14" s="14">
        <f ca="1">'Almost Histogram'!B14</f>
        <v>66.244666483025384</v>
      </c>
      <c r="C14" s="31">
        <v>0</v>
      </c>
      <c r="D14" s="22" t="s">
        <v>18</v>
      </c>
      <c r="E14" s="7">
        <f ca="1">D4</f>
        <v>64.199999999999989</v>
      </c>
      <c r="F14" s="23">
        <v>0</v>
      </c>
    </row>
    <row r="15" spans="2:7" x14ac:dyDescent="0.25">
      <c r="B15" s="14">
        <f ca="1">'Almost Histogram'!B15</f>
        <v>72.926828735755066</v>
      </c>
      <c r="C15" s="31">
        <v>0</v>
      </c>
      <c r="D15" s="22">
        <v>6</v>
      </c>
      <c r="E15" s="7">
        <f ca="1">D4</f>
        <v>64.199999999999989</v>
      </c>
      <c r="F15" s="23">
        <f ca="1">G5</f>
        <v>13.846153846153877</v>
      </c>
    </row>
    <row r="16" spans="2:7" x14ac:dyDescent="0.25">
      <c r="B16" s="14">
        <f ca="1">'Almost Histogram'!B16</f>
        <v>70.680988386002909</v>
      </c>
      <c r="C16" s="31">
        <v>0</v>
      </c>
      <c r="D16" s="22"/>
      <c r="E16" s="7">
        <f ca="1">(E15+E17)/2</f>
        <v>65.499999999999986</v>
      </c>
      <c r="F16" s="23">
        <f ca="1">F15</f>
        <v>13.846153846153877</v>
      </c>
    </row>
    <row r="17" spans="2:21" ht="15.75" thickBot="1" x14ac:dyDescent="0.3">
      <c r="B17" s="14">
        <f ca="1">'Almost Histogram'!B17</f>
        <v>62.879952427261607</v>
      </c>
      <c r="C17" s="31">
        <v>0</v>
      </c>
      <c r="D17" s="22"/>
      <c r="E17" s="7">
        <f ca="1">D5</f>
        <v>66.799999999999983</v>
      </c>
      <c r="F17" s="23">
        <f ca="1">G5</f>
        <v>13.846153846153877</v>
      </c>
    </row>
    <row r="18" spans="2:21" ht="14.45" customHeight="1" x14ac:dyDescent="0.25">
      <c r="B18" s="14">
        <f ca="1">'Almost Histogram'!B18</f>
        <v>66.520814865113479</v>
      </c>
      <c r="C18" s="31">
        <v>0</v>
      </c>
      <c r="D18" s="22" t="s">
        <v>19</v>
      </c>
      <c r="E18" s="7">
        <f ca="1">D5</f>
        <v>66.799999999999983</v>
      </c>
      <c r="F18" s="23">
        <v>0</v>
      </c>
      <c r="I18" s="53" t="s">
        <v>22</v>
      </c>
      <c r="J18" s="54"/>
      <c r="K18" s="54"/>
      <c r="L18" s="54"/>
      <c r="M18" s="55"/>
      <c r="P18" s="70" t="str" cm="1">
        <f t="array" aca="1" ref="P18" ca="1">"For comparison here is the histogram for the same data with equal bin widths. The first three bins of this are combined into a single bin in the histogram to the left. The binwidth is "&amp;'Histogram (Equal Bin Width)'!D6&amp;":"&amp;CHAR(10)&amp;'Histogram (Equal Bin Width)'!$F$4&amp;"×"&amp;'Histogram (Equal Bin Width)'!$D$6&amp;"+"&amp;'Histogram (Equal Bin Width)'!$F$5&amp;"×"&amp;'Histogram (Equal Bin Width)'!$D$6&amp;"+"&amp;'Histogram (Equal Bin Width)'!$F$6&amp;"×"&amp;'Histogram (Equal Bin Width)'!$D$6&amp;"="&amp;ROUND(SUM('Histogram (Equal Bin Width)'!F4:F6*'Histogram (Equal Bin Width)'!D6),0)</f>
        <v>For comparison here is the histogram for the same data with equal bin widths. The first three bins of this are combined into a single bin in the histogram to the left. The binwidth is 1.3:
6.15×1.3+10×1.3+13.08×1.3=38</v>
      </c>
      <c r="Q18" s="71"/>
      <c r="R18" s="71"/>
      <c r="S18" s="71"/>
      <c r="T18" s="71"/>
      <c r="U18" s="72"/>
    </row>
    <row r="19" spans="2:21" ht="14.45" customHeight="1" x14ac:dyDescent="0.25">
      <c r="B19" s="14">
        <f ca="1">'Almost Histogram'!B19</f>
        <v>65.799904367928704</v>
      </c>
      <c r="C19" s="31">
        <v>0</v>
      </c>
      <c r="D19" s="24" t="s">
        <v>18</v>
      </c>
      <c r="E19" s="8">
        <f ca="1">D5</f>
        <v>66.799999999999983</v>
      </c>
      <c r="F19" s="25">
        <v>0</v>
      </c>
      <c r="I19" s="56"/>
      <c r="J19" s="57"/>
      <c r="K19" s="57"/>
      <c r="L19" s="57"/>
      <c r="M19" s="58"/>
      <c r="P19" s="73"/>
      <c r="Q19" s="74"/>
      <c r="R19" s="74"/>
      <c r="S19" s="74"/>
      <c r="T19" s="74"/>
      <c r="U19" s="75"/>
    </row>
    <row r="20" spans="2:21" ht="14.45" customHeight="1" x14ac:dyDescent="0.25">
      <c r="B20" s="14">
        <f ca="1">'Almost Histogram'!B20</f>
        <v>63.813916334643544</v>
      </c>
      <c r="C20" s="31">
        <v>0</v>
      </c>
      <c r="D20" s="24"/>
      <c r="E20" s="8">
        <f ca="1">D5</f>
        <v>66.799999999999983</v>
      </c>
      <c r="F20" s="25">
        <f ca="1">G6</f>
        <v>13.46153846153849</v>
      </c>
      <c r="I20" s="56"/>
      <c r="J20" s="57"/>
      <c r="K20" s="57"/>
      <c r="L20" s="57"/>
      <c r="M20" s="58"/>
      <c r="P20" s="73"/>
      <c r="Q20" s="74"/>
      <c r="R20" s="74"/>
      <c r="S20" s="74"/>
      <c r="T20" s="74"/>
      <c r="U20" s="75"/>
    </row>
    <row r="21" spans="2:21" ht="14.45" customHeight="1" thickBot="1" x14ac:dyDescent="0.3">
      <c r="B21" s="14">
        <f ca="1">'Almost Histogram'!B21</f>
        <v>64.136402301466291</v>
      </c>
      <c r="C21" s="31">
        <v>0</v>
      </c>
      <c r="D21" s="24"/>
      <c r="E21" s="8">
        <f ca="1">(E20+E22)/2</f>
        <v>68.09999999999998</v>
      </c>
      <c r="F21" s="25">
        <f ca="1">F20</f>
        <v>13.46153846153849</v>
      </c>
      <c r="I21" s="59"/>
      <c r="J21" s="60"/>
      <c r="K21" s="60"/>
      <c r="L21" s="60"/>
      <c r="M21" s="61"/>
      <c r="P21" s="73"/>
      <c r="Q21" s="74"/>
      <c r="R21" s="74"/>
      <c r="S21" s="74"/>
      <c r="T21" s="74"/>
      <c r="U21" s="75"/>
    </row>
    <row r="22" spans="2:21" ht="14.45" customHeight="1" thickBot="1" x14ac:dyDescent="0.3">
      <c r="B22" s="14">
        <f ca="1">'Almost Histogram'!B22</f>
        <v>62.786435009059964</v>
      </c>
      <c r="C22" s="31">
        <v>0</v>
      </c>
      <c r="D22" s="24"/>
      <c r="E22" s="8">
        <f ca="1">D6</f>
        <v>69.399999999999977</v>
      </c>
      <c r="F22" s="25">
        <f ca="1">G6</f>
        <v>13.46153846153849</v>
      </c>
      <c r="P22" s="73"/>
      <c r="Q22" s="74"/>
      <c r="R22" s="74"/>
      <c r="S22" s="74"/>
      <c r="T22" s="74"/>
      <c r="U22" s="75"/>
    </row>
    <row r="23" spans="2:21" x14ac:dyDescent="0.25">
      <c r="B23" s="14">
        <f ca="1">'Almost Histogram'!B23</f>
        <v>69.568648923401881</v>
      </c>
      <c r="C23" s="31">
        <v>0</v>
      </c>
      <c r="D23" s="24" t="s">
        <v>19</v>
      </c>
      <c r="E23" s="8">
        <f ca="1">D6</f>
        <v>69.399999999999977</v>
      </c>
      <c r="F23" s="25">
        <v>0</v>
      </c>
      <c r="H23" s="70" t="str">
        <f ca="1">"Note here that the height of a bar is now the frequency density, in this case the first bar has height "&amp;ROUND(G4,1)&amp;" and a width of "&amp;ROUND(F4,2)&amp;" for a frequency of "&amp;ROUND(G4,1)&amp;"×"&amp;ROUND(F4,2)&amp;" ≈ "&amp;ROUND(F4*G4,1)&amp;"."</f>
        <v>Note here that the height of a bar is now the frequency density, in this case the first bar has height 9.7 and a width of 3.9 for a frequency of 9.7×3.9 ≈ 38.</v>
      </c>
      <c r="I23" s="71"/>
      <c r="J23" s="71"/>
      <c r="K23" s="71"/>
      <c r="L23" s="71"/>
      <c r="M23" s="71"/>
      <c r="N23" s="72"/>
      <c r="P23" s="73"/>
      <c r="Q23" s="74"/>
      <c r="R23" s="74"/>
      <c r="S23" s="74"/>
      <c r="T23" s="74"/>
      <c r="U23" s="75"/>
    </row>
    <row r="24" spans="2:21" ht="14.45" customHeight="1" thickBot="1" x14ac:dyDescent="0.3">
      <c r="B24" s="14">
        <f ca="1">'Almost Histogram'!B24</f>
        <v>64.317414586693502</v>
      </c>
      <c r="C24" s="31">
        <v>0</v>
      </c>
      <c r="D24" s="26" t="s">
        <v>18</v>
      </c>
      <c r="E24" s="9">
        <f ca="1">D6</f>
        <v>69.399999999999977</v>
      </c>
      <c r="F24" s="27">
        <v>0</v>
      </c>
      <c r="H24" s="73"/>
      <c r="I24" s="74"/>
      <c r="J24" s="74"/>
      <c r="K24" s="74"/>
      <c r="L24" s="74"/>
      <c r="M24" s="74"/>
      <c r="N24" s="75"/>
      <c r="P24" s="76"/>
      <c r="Q24" s="77"/>
      <c r="R24" s="77"/>
      <c r="S24" s="77"/>
      <c r="T24" s="77"/>
      <c r="U24" s="78"/>
    </row>
    <row r="25" spans="2:21" ht="14.45" customHeight="1" x14ac:dyDescent="0.25">
      <c r="B25" s="14">
        <f ca="1">'Almost Histogram'!B25</f>
        <v>66.061558501820087</v>
      </c>
      <c r="C25" s="31">
        <v>0</v>
      </c>
      <c r="D25" s="26"/>
      <c r="E25" s="9">
        <f ca="1">D6</f>
        <v>69.399999999999977</v>
      </c>
      <c r="F25" s="27">
        <f ca="1">G7</f>
        <v>3.3333333333333406</v>
      </c>
      <c r="H25" s="73"/>
      <c r="I25" s="74"/>
      <c r="J25" s="74"/>
      <c r="K25" s="74"/>
      <c r="L25" s="74"/>
      <c r="M25" s="74"/>
      <c r="N25" s="75"/>
    </row>
    <row r="26" spans="2:21" ht="14.45" customHeight="1" x14ac:dyDescent="0.25">
      <c r="B26" s="14">
        <f ca="1">'Almost Histogram'!B26</f>
        <v>65.765903101851904</v>
      </c>
      <c r="C26" s="31">
        <v>0</v>
      </c>
      <c r="D26" s="26"/>
      <c r="E26" s="9">
        <f ca="1">(E25+E27)/2</f>
        <v>71.349999999999966</v>
      </c>
      <c r="F26" s="27">
        <f ca="1">F25</f>
        <v>3.3333333333333406</v>
      </c>
      <c r="H26" s="73"/>
      <c r="I26" s="74"/>
      <c r="J26" s="74"/>
      <c r="K26" s="74"/>
      <c r="L26" s="74"/>
      <c r="M26" s="74"/>
      <c r="N26" s="75"/>
    </row>
    <row r="27" spans="2:21" ht="15.75" thickBot="1" x14ac:dyDescent="0.3">
      <c r="B27" s="14">
        <f ca="1">'Almost Histogram'!B27</f>
        <v>66.820491715120312</v>
      </c>
      <c r="C27" s="31">
        <v>0</v>
      </c>
      <c r="D27" s="26"/>
      <c r="E27" s="9">
        <f ca="1">D7</f>
        <v>73.299999999999969</v>
      </c>
      <c r="F27" s="27">
        <f ca="1">G7</f>
        <v>3.3333333333333406</v>
      </c>
      <c r="H27" s="76"/>
      <c r="I27" s="77"/>
      <c r="J27" s="77"/>
      <c r="K27" s="77"/>
      <c r="L27" s="77"/>
      <c r="M27" s="77"/>
      <c r="N27" s="78"/>
    </row>
    <row r="28" spans="2:21" ht="15.75" thickBot="1" x14ac:dyDescent="0.3">
      <c r="B28" s="14">
        <f ca="1">'Almost Histogram'!B28</f>
        <v>68.263157362157685</v>
      </c>
      <c r="C28" s="31">
        <v>0</v>
      </c>
      <c r="D28" s="28" t="s">
        <v>19</v>
      </c>
      <c r="E28" s="29">
        <f ca="1">D7</f>
        <v>73.299999999999969</v>
      </c>
      <c r="F28" s="30">
        <v>0</v>
      </c>
    </row>
    <row r="29" spans="2:21" ht="15.75" thickBot="1" x14ac:dyDescent="0.3">
      <c r="B29" s="14">
        <f ca="1">'Almost Histogram'!B29</f>
        <v>63.751664011456583</v>
      </c>
      <c r="C29" s="31">
        <v>0</v>
      </c>
    </row>
    <row r="30" spans="2:21" ht="15.75" thickBot="1" x14ac:dyDescent="0.3">
      <c r="B30" s="14">
        <f ca="1">'Almost Histogram'!B30</f>
        <v>61.139526115604589</v>
      </c>
      <c r="C30" s="31">
        <v>0</v>
      </c>
      <c r="I30" s="79" t="s">
        <v>35</v>
      </c>
      <c r="J30" s="80"/>
      <c r="K30" s="80"/>
      <c r="L30" s="81"/>
    </row>
    <row r="31" spans="2:21" x14ac:dyDescent="0.25">
      <c r="B31" s="14">
        <f ca="1">'Almost Histogram'!B31</f>
        <v>61.832624825508717</v>
      </c>
      <c r="C31" s="31">
        <v>0</v>
      </c>
      <c r="I31" s="65" t="s">
        <v>36</v>
      </c>
      <c r="J31" s="65"/>
      <c r="K31" s="65"/>
      <c r="L31" s="65"/>
    </row>
    <row r="32" spans="2:21" x14ac:dyDescent="0.25">
      <c r="B32" s="14">
        <f ca="1">'Almost Histogram'!B32</f>
        <v>64.458155759942073</v>
      </c>
      <c r="C32" s="31">
        <v>0</v>
      </c>
    </row>
    <row r="33" spans="2:3" x14ac:dyDescent="0.25">
      <c r="B33" s="14">
        <f ca="1">'Almost Histogram'!B33</f>
        <v>71.43623843106856</v>
      </c>
      <c r="C33" s="31">
        <v>0</v>
      </c>
    </row>
    <row r="34" spans="2:3" x14ac:dyDescent="0.25">
      <c r="B34" s="14">
        <f ca="1">'Almost Histogram'!B34</f>
        <v>70.380261068021241</v>
      </c>
      <c r="C34" s="31">
        <v>0</v>
      </c>
    </row>
    <row r="35" spans="2:3" x14ac:dyDescent="0.25">
      <c r="B35" s="14">
        <f ca="1">'Almost Histogram'!B35</f>
        <v>67.958562513892531</v>
      </c>
      <c r="C35" s="31">
        <v>0</v>
      </c>
    </row>
    <row r="36" spans="2:3" x14ac:dyDescent="0.25">
      <c r="B36" s="14">
        <f ca="1">'Almost Histogram'!B36</f>
        <v>67.050559490969547</v>
      </c>
      <c r="C36" s="31">
        <v>0</v>
      </c>
    </row>
    <row r="37" spans="2:3" x14ac:dyDescent="0.25">
      <c r="B37" s="14">
        <f ca="1">'Almost Histogram'!B37</f>
        <v>67.724337352905977</v>
      </c>
      <c r="C37" s="31">
        <v>0</v>
      </c>
    </row>
    <row r="38" spans="2:3" x14ac:dyDescent="0.25">
      <c r="B38" s="14">
        <f ca="1">'Almost Histogram'!B38</f>
        <v>62.770845880537131</v>
      </c>
      <c r="C38" s="31">
        <v>0</v>
      </c>
    </row>
    <row r="39" spans="2:3" x14ac:dyDescent="0.25">
      <c r="B39" s="14">
        <f ca="1">'Almost Histogram'!B39</f>
        <v>62.293042269721461</v>
      </c>
      <c r="C39" s="31">
        <v>0</v>
      </c>
    </row>
    <row r="40" spans="2:3" x14ac:dyDescent="0.25">
      <c r="B40" s="14">
        <f ca="1">'Almost Histogram'!B40</f>
        <v>65.536563806302993</v>
      </c>
      <c r="C40" s="31">
        <v>0</v>
      </c>
    </row>
    <row r="41" spans="2:3" x14ac:dyDescent="0.25">
      <c r="B41" s="14">
        <f ca="1">'Almost Histogram'!B41</f>
        <v>67.207745864465835</v>
      </c>
      <c r="C41" s="31">
        <v>0</v>
      </c>
    </row>
    <row r="42" spans="2:3" x14ac:dyDescent="0.25">
      <c r="B42" s="14">
        <f ca="1">'Almost Histogram'!B42</f>
        <v>62.547370272693669</v>
      </c>
      <c r="C42" s="31">
        <v>0</v>
      </c>
    </row>
    <row r="43" spans="2:3" x14ac:dyDescent="0.25">
      <c r="B43" s="14">
        <f ca="1">'Almost Histogram'!B43</f>
        <v>69.392140184375819</v>
      </c>
      <c r="C43" s="31">
        <v>0</v>
      </c>
    </row>
    <row r="44" spans="2:3" x14ac:dyDescent="0.25">
      <c r="B44" s="14">
        <f ca="1">'Almost Histogram'!B44</f>
        <v>67.729854637108858</v>
      </c>
      <c r="C44" s="31">
        <v>0</v>
      </c>
    </row>
    <row r="45" spans="2:3" x14ac:dyDescent="0.25">
      <c r="B45" s="14">
        <f ca="1">'Almost Histogram'!B45</f>
        <v>66.083867300281312</v>
      </c>
      <c r="C45" s="31">
        <v>0</v>
      </c>
    </row>
    <row r="46" spans="2:3" x14ac:dyDescent="0.25">
      <c r="B46" s="14">
        <f ca="1">'Almost Histogram'!B46</f>
        <v>67.317733735635542</v>
      </c>
      <c r="C46" s="31">
        <v>0</v>
      </c>
    </row>
    <row r="47" spans="2:3" x14ac:dyDescent="0.25">
      <c r="B47" s="14">
        <f ca="1">'Almost Histogram'!B47</f>
        <v>66.770176536641756</v>
      </c>
      <c r="C47" s="31">
        <v>0</v>
      </c>
    </row>
    <row r="48" spans="2:3" x14ac:dyDescent="0.25">
      <c r="B48" s="14">
        <f ca="1">'Almost Histogram'!B48</f>
        <v>65.802601715232484</v>
      </c>
      <c r="C48" s="31">
        <v>0</v>
      </c>
    </row>
    <row r="49" spans="2:3" x14ac:dyDescent="0.25">
      <c r="B49" s="14">
        <f ca="1">'Almost Histogram'!B49</f>
        <v>60.686868681992188</v>
      </c>
      <c r="C49" s="31">
        <v>0</v>
      </c>
    </row>
    <row r="50" spans="2:3" x14ac:dyDescent="0.25">
      <c r="B50" s="14">
        <f ca="1">'Almost Histogram'!B50</f>
        <v>70.631436966120845</v>
      </c>
      <c r="C50" s="31">
        <v>0</v>
      </c>
    </row>
    <row r="51" spans="2:3" x14ac:dyDescent="0.25">
      <c r="B51" s="14">
        <f ca="1">'Almost Histogram'!B51</f>
        <v>67.822231309414491</v>
      </c>
      <c r="C51" s="31">
        <v>0</v>
      </c>
    </row>
    <row r="52" spans="2:3" x14ac:dyDescent="0.25">
      <c r="B52" s="14">
        <f ca="1">'Almost Histogram'!B52</f>
        <v>65.451083517140262</v>
      </c>
      <c r="C52" s="31">
        <v>0</v>
      </c>
    </row>
    <row r="53" spans="2:3" x14ac:dyDescent="0.25">
      <c r="B53" s="14">
        <f ca="1">'Almost Histogram'!B53</f>
        <v>69.889156638810135</v>
      </c>
      <c r="C53" s="31">
        <v>0</v>
      </c>
    </row>
    <row r="54" spans="2:3" x14ac:dyDescent="0.25">
      <c r="B54" s="14">
        <f ca="1">'Almost Histogram'!B54</f>
        <v>62.575792941732757</v>
      </c>
      <c r="C54" s="31">
        <v>0</v>
      </c>
    </row>
    <row r="55" spans="2:3" x14ac:dyDescent="0.25">
      <c r="B55" s="14">
        <f ca="1">'Almost Histogram'!B55</f>
        <v>68.790168500099284</v>
      </c>
      <c r="C55" s="31">
        <v>0</v>
      </c>
    </row>
    <row r="56" spans="2:3" x14ac:dyDescent="0.25">
      <c r="B56" s="14">
        <f ca="1">'Almost Histogram'!B56</f>
        <v>65.195396415878776</v>
      </c>
      <c r="C56" s="31">
        <v>0</v>
      </c>
    </row>
    <row r="57" spans="2:3" x14ac:dyDescent="0.25">
      <c r="B57" s="14">
        <f ca="1">'Almost Histogram'!B57</f>
        <v>67.083526236133267</v>
      </c>
      <c r="C57" s="31">
        <v>0</v>
      </c>
    </row>
    <row r="58" spans="2:3" x14ac:dyDescent="0.25">
      <c r="B58" s="14">
        <f ca="1">'Almost Histogram'!B58</f>
        <v>69.226471004443937</v>
      </c>
      <c r="C58" s="31">
        <v>0</v>
      </c>
    </row>
    <row r="59" spans="2:3" x14ac:dyDescent="0.25">
      <c r="B59" s="14">
        <f ca="1">'Almost Histogram'!B59</f>
        <v>61.030827750936695</v>
      </c>
      <c r="C59" s="31">
        <v>0</v>
      </c>
    </row>
    <row r="60" spans="2:3" x14ac:dyDescent="0.25">
      <c r="B60" s="14">
        <f ca="1">'Almost Histogram'!B60</f>
        <v>63.986155098356939</v>
      </c>
      <c r="C60" s="31">
        <v>0</v>
      </c>
    </row>
    <row r="61" spans="2:3" x14ac:dyDescent="0.25">
      <c r="B61" s="14">
        <f ca="1">'Almost Histogram'!B61</f>
        <v>63.699223418430471</v>
      </c>
      <c r="C61" s="31">
        <v>0</v>
      </c>
    </row>
    <row r="62" spans="2:3" x14ac:dyDescent="0.25">
      <c r="B62" s="14">
        <f ca="1">'Almost Histogram'!B62</f>
        <v>60.524657455882306</v>
      </c>
      <c r="C62" s="31">
        <v>0</v>
      </c>
    </row>
    <row r="63" spans="2:3" x14ac:dyDescent="0.25">
      <c r="B63" s="14">
        <f ca="1">'Almost Histogram'!B63</f>
        <v>63.690036126164046</v>
      </c>
      <c r="C63" s="31">
        <v>0</v>
      </c>
    </row>
    <row r="64" spans="2:3" x14ac:dyDescent="0.25">
      <c r="B64" s="14">
        <f ca="1">'Almost Histogram'!B64</f>
        <v>68.393102668615157</v>
      </c>
      <c r="C64" s="31">
        <v>0</v>
      </c>
    </row>
    <row r="65" spans="2:3" x14ac:dyDescent="0.25">
      <c r="B65" s="14">
        <f ca="1">'Almost Histogram'!B65</f>
        <v>72.965816474382478</v>
      </c>
      <c r="C65" s="31">
        <v>0</v>
      </c>
    </row>
    <row r="66" spans="2:3" x14ac:dyDescent="0.25">
      <c r="B66" s="14">
        <f ca="1">'Almost Histogram'!B66</f>
        <v>69.132891507536783</v>
      </c>
      <c r="C66" s="31">
        <v>0</v>
      </c>
    </row>
    <row r="67" spans="2:3" x14ac:dyDescent="0.25">
      <c r="B67" s="14">
        <f ca="1">'Almost Histogram'!B67</f>
        <v>64.560732642842893</v>
      </c>
      <c r="C67" s="31">
        <v>0</v>
      </c>
    </row>
    <row r="68" spans="2:3" x14ac:dyDescent="0.25">
      <c r="B68" s="14">
        <f ca="1">'Almost Histogram'!B68</f>
        <v>65.06553956316084</v>
      </c>
      <c r="C68" s="31">
        <v>0</v>
      </c>
    </row>
    <row r="69" spans="2:3" x14ac:dyDescent="0.25">
      <c r="B69" s="14">
        <f ca="1">'Almost Histogram'!B69</f>
        <v>67.584435173268702</v>
      </c>
      <c r="C69" s="31">
        <v>0</v>
      </c>
    </row>
    <row r="70" spans="2:3" x14ac:dyDescent="0.25">
      <c r="B70" s="14">
        <f ca="1">'Almost Histogram'!B70</f>
        <v>63.388505838246573</v>
      </c>
      <c r="C70" s="31">
        <v>0</v>
      </c>
    </row>
    <row r="71" spans="2:3" x14ac:dyDescent="0.25">
      <c r="B71" s="14">
        <f ca="1">'Almost Histogram'!B71</f>
        <v>68.826396011148987</v>
      </c>
      <c r="C71" s="31">
        <v>0</v>
      </c>
    </row>
    <row r="72" spans="2:3" x14ac:dyDescent="0.25">
      <c r="B72" s="14">
        <f ca="1">'Almost Histogram'!B72</f>
        <v>66.901953310334136</v>
      </c>
      <c r="C72" s="31">
        <v>0</v>
      </c>
    </row>
    <row r="73" spans="2:3" x14ac:dyDescent="0.25">
      <c r="B73" s="14">
        <f ca="1">'Almost Histogram'!B73</f>
        <v>66.847864430089132</v>
      </c>
      <c r="C73" s="31">
        <v>0</v>
      </c>
    </row>
    <row r="74" spans="2:3" x14ac:dyDescent="0.25">
      <c r="B74" s="14">
        <f ca="1">'Almost Histogram'!B74</f>
        <v>63.959480931125611</v>
      </c>
      <c r="C74" s="31">
        <v>0</v>
      </c>
    </row>
    <row r="75" spans="2:3" x14ac:dyDescent="0.25">
      <c r="B75" s="14">
        <f ca="1">'Almost Histogram'!B75</f>
        <v>67.00248895781742</v>
      </c>
      <c r="C75" s="31">
        <v>0</v>
      </c>
    </row>
    <row r="76" spans="2:3" x14ac:dyDescent="0.25">
      <c r="B76" s="14">
        <f ca="1">'Almost Histogram'!B76</f>
        <v>61.846276541973559</v>
      </c>
      <c r="C76" s="31">
        <v>0</v>
      </c>
    </row>
    <row r="77" spans="2:3" x14ac:dyDescent="0.25">
      <c r="B77" s="14">
        <f ca="1">'Almost Histogram'!B77</f>
        <v>68.749918497984808</v>
      </c>
      <c r="C77" s="31">
        <v>0</v>
      </c>
    </row>
    <row r="78" spans="2:3" x14ac:dyDescent="0.25">
      <c r="B78" s="14">
        <f ca="1">'Almost Histogram'!B78</f>
        <v>67.412689056446894</v>
      </c>
      <c r="C78" s="31">
        <v>0</v>
      </c>
    </row>
    <row r="79" spans="2:3" x14ac:dyDescent="0.25">
      <c r="B79" s="14">
        <f ca="1">'Almost Histogram'!B79</f>
        <v>68.295978068811891</v>
      </c>
      <c r="C79" s="31">
        <v>0</v>
      </c>
    </row>
    <row r="80" spans="2:3" x14ac:dyDescent="0.25">
      <c r="B80" s="14">
        <f ca="1">'Almost Histogram'!B80</f>
        <v>63.508756989083238</v>
      </c>
      <c r="C80" s="31">
        <v>0</v>
      </c>
    </row>
    <row r="81" spans="2:3" x14ac:dyDescent="0.25">
      <c r="B81" s="14">
        <f ca="1">'Almost Histogram'!B81</f>
        <v>61.360217869183117</v>
      </c>
      <c r="C81" s="31">
        <v>0</v>
      </c>
    </row>
    <row r="82" spans="2:3" x14ac:dyDescent="0.25">
      <c r="B82" s="14">
        <f ca="1">'Almost Histogram'!B82</f>
        <v>70.181761015750197</v>
      </c>
      <c r="C82" s="31">
        <v>0</v>
      </c>
    </row>
    <row r="83" spans="2:3" x14ac:dyDescent="0.25">
      <c r="B83" s="14">
        <f ca="1">'Almost Histogram'!B83</f>
        <v>67.717765900309033</v>
      </c>
      <c r="C83" s="31">
        <v>0</v>
      </c>
    </row>
    <row r="84" spans="2:3" x14ac:dyDescent="0.25">
      <c r="B84" s="14">
        <f ca="1">'Almost Histogram'!B84</f>
        <v>66.949422645155238</v>
      </c>
      <c r="C84" s="31">
        <v>0</v>
      </c>
    </row>
    <row r="85" spans="2:3" x14ac:dyDescent="0.25">
      <c r="B85" s="14">
        <f ca="1">'Almost Histogram'!B85</f>
        <v>67.580467316864755</v>
      </c>
      <c r="C85" s="31">
        <v>0</v>
      </c>
    </row>
    <row r="86" spans="2:3" x14ac:dyDescent="0.25">
      <c r="B86" s="14">
        <f ca="1">'Almost Histogram'!B86</f>
        <v>65.615480189559364</v>
      </c>
      <c r="C86" s="31">
        <v>0</v>
      </c>
    </row>
    <row r="87" spans="2:3" x14ac:dyDescent="0.25">
      <c r="B87" s="14">
        <f ca="1">'Almost Histogram'!B87</f>
        <v>64.663874146530233</v>
      </c>
      <c r="C87" s="31">
        <v>0</v>
      </c>
    </row>
    <row r="88" spans="2:3" x14ac:dyDescent="0.25">
      <c r="B88" s="14">
        <f ca="1">'Almost Histogram'!B88</f>
        <v>63.554668904705267</v>
      </c>
      <c r="C88" s="31">
        <v>0</v>
      </c>
    </row>
    <row r="89" spans="2:3" x14ac:dyDescent="0.25">
      <c r="B89" s="14">
        <f ca="1">'Almost Histogram'!B89</f>
        <v>64.212661108492156</v>
      </c>
      <c r="C89" s="31">
        <v>0</v>
      </c>
    </row>
    <row r="90" spans="2:3" x14ac:dyDescent="0.25">
      <c r="B90" s="14">
        <f ca="1">'Almost Histogram'!B90</f>
        <v>63.582420345152578</v>
      </c>
      <c r="C90" s="31">
        <v>0</v>
      </c>
    </row>
    <row r="91" spans="2:3" x14ac:dyDescent="0.25">
      <c r="B91" s="14">
        <f ca="1">'Almost Histogram'!B91</f>
        <v>62.866769667379245</v>
      </c>
      <c r="C91" s="31">
        <v>0</v>
      </c>
    </row>
    <row r="92" spans="2:3" x14ac:dyDescent="0.25">
      <c r="B92" s="14">
        <f ca="1">'Almost Histogram'!B92</f>
        <v>69.763586669985443</v>
      </c>
      <c r="C92" s="31">
        <v>0</v>
      </c>
    </row>
    <row r="93" spans="2:3" x14ac:dyDescent="0.25">
      <c r="B93" s="14">
        <f ca="1">'Almost Histogram'!B93</f>
        <v>66.019920085971251</v>
      </c>
      <c r="C93" s="31">
        <v>0</v>
      </c>
    </row>
    <row r="94" spans="2:3" x14ac:dyDescent="0.25">
      <c r="B94" s="14">
        <f ca="1">'Almost Histogram'!B94</f>
        <v>68.577897562400949</v>
      </c>
      <c r="C94" s="31">
        <v>0</v>
      </c>
    </row>
    <row r="95" spans="2:3" x14ac:dyDescent="0.25">
      <c r="B95" s="14">
        <f ca="1">'Almost Histogram'!B95</f>
        <v>62.928766757172859</v>
      </c>
      <c r="C95" s="31">
        <v>0</v>
      </c>
    </row>
    <row r="96" spans="2:3" x14ac:dyDescent="0.25">
      <c r="B96" s="14">
        <f ca="1">'Almost Histogram'!B96</f>
        <v>60.650378600522203</v>
      </c>
      <c r="C96" s="31">
        <v>0</v>
      </c>
    </row>
    <row r="97" spans="2:3" x14ac:dyDescent="0.25">
      <c r="B97" s="14">
        <f ca="1">'Almost Histogram'!B97</f>
        <v>62.55492046456169</v>
      </c>
      <c r="C97" s="31">
        <v>0</v>
      </c>
    </row>
    <row r="98" spans="2:3" x14ac:dyDescent="0.25">
      <c r="B98" s="14">
        <f ca="1">'Almost Histogram'!B98</f>
        <v>64.339837049717559</v>
      </c>
      <c r="C98" s="31">
        <v>0</v>
      </c>
    </row>
    <row r="99" spans="2:3" x14ac:dyDescent="0.25">
      <c r="B99" s="14">
        <f ca="1">'Almost Histogram'!B99</f>
        <v>64.601510691071496</v>
      </c>
      <c r="C99" s="31">
        <v>0</v>
      </c>
    </row>
    <row r="100" spans="2:3" x14ac:dyDescent="0.25">
      <c r="B100" s="14">
        <f ca="1">'Almost Histogram'!B100</f>
        <v>69.18219008879332</v>
      </c>
      <c r="C100" s="31">
        <v>0</v>
      </c>
    </row>
    <row r="101" spans="2:3" x14ac:dyDescent="0.25">
      <c r="B101" s="14">
        <f ca="1">'Almost Histogram'!B101</f>
        <v>65.18081678544219</v>
      </c>
      <c r="C101" s="31">
        <v>0</v>
      </c>
    </row>
    <row r="102" spans="2:3" x14ac:dyDescent="0.25">
      <c r="B102" s="14">
        <f ca="1">'Almost Histogram'!B102</f>
        <v>62.53000958906641</v>
      </c>
      <c r="C102" s="31">
        <v>0</v>
      </c>
    </row>
    <row r="103" spans="2:3" x14ac:dyDescent="0.25">
      <c r="B103" s="14">
        <f ca="1">'Almost Histogram'!B103</f>
        <v>67.023429216239364</v>
      </c>
      <c r="C103" s="31">
        <v>0</v>
      </c>
    </row>
    <row r="104" spans="2:3" x14ac:dyDescent="0.25">
      <c r="B104" s="14">
        <f ca="1">'Almost Histogram'!B104</f>
        <v>65.419694574125401</v>
      </c>
      <c r="C104" s="31">
        <v>0</v>
      </c>
    </row>
    <row r="105" spans="2:3" x14ac:dyDescent="0.25">
      <c r="B105" s="14">
        <f ca="1">'Almost Histogram'!B105</f>
        <v>64.527943122945032</v>
      </c>
      <c r="C105" s="31">
        <v>0</v>
      </c>
    </row>
    <row r="106" spans="2:3" x14ac:dyDescent="0.25">
      <c r="B106" s="14">
        <f ca="1">'Almost Histogram'!B106</f>
        <v>63.990051817670349</v>
      </c>
      <c r="C106" s="31">
        <v>0</v>
      </c>
    </row>
    <row r="107" spans="2:3" x14ac:dyDescent="0.25">
      <c r="B107" s="14">
        <f ca="1">'Almost Histogram'!B107</f>
        <v>64.048047928929293</v>
      </c>
      <c r="C107" s="31">
        <v>0</v>
      </c>
    </row>
    <row r="108" spans="2:3" x14ac:dyDescent="0.25">
      <c r="B108" s="14">
        <f ca="1">'Almost Histogram'!B108</f>
        <v>66.004054158487477</v>
      </c>
      <c r="C108" s="31">
        <v>0</v>
      </c>
    </row>
    <row r="109" spans="2:3" x14ac:dyDescent="0.25">
      <c r="B109" s="14">
        <f ca="1">'Almost Histogram'!B109</f>
        <v>63.730839164069721</v>
      </c>
      <c r="C109" s="31">
        <v>0</v>
      </c>
    </row>
    <row r="110" spans="2:3" x14ac:dyDescent="0.25">
      <c r="B110" s="14">
        <f ca="1">'Almost Histogram'!B110</f>
        <v>64.306882565104132</v>
      </c>
      <c r="C110" s="31">
        <v>0</v>
      </c>
    </row>
    <row r="111" spans="2:3" x14ac:dyDescent="0.25">
      <c r="B111" s="14">
        <f ca="1">'Almost Histogram'!B111</f>
        <v>65.939897352211545</v>
      </c>
      <c r="C111" s="31">
        <v>0</v>
      </c>
    </row>
    <row r="112" spans="2:3" x14ac:dyDescent="0.25">
      <c r="B112" s="14">
        <f ca="1">'Almost Histogram'!B112</f>
        <v>64.462662881571831</v>
      </c>
      <c r="C112" s="31">
        <v>0</v>
      </c>
    </row>
    <row r="113" spans="2:3" x14ac:dyDescent="0.25">
      <c r="B113" s="14">
        <f ca="1">'Almost Histogram'!B113</f>
        <v>68.607508675355433</v>
      </c>
      <c r="C113" s="31">
        <v>0</v>
      </c>
    </row>
    <row r="114" spans="2:3" x14ac:dyDescent="0.25">
      <c r="B114" s="14">
        <f ca="1">'Almost Histogram'!B114</f>
        <v>64.862267423302882</v>
      </c>
      <c r="C114" s="31">
        <v>0</v>
      </c>
    </row>
    <row r="115" spans="2:3" x14ac:dyDescent="0.25">
      <c r="B115" s="14">
        <f ca="1">'Almost Histogram'!B115</f>
        <v>65.029873080459183</v>
      </c>
      <c r="C115" s="31">
        <v>0</v>
      </c>
    </row>
    <row r="116" spans="2:3" x14ac:dyDescent="0.25">
      <c r="B116" s="14">
        <f ca="1">'Almost Histogram'!B116</f>
        <v>60.474622861672934</v>
      </c>
      <c r="C116" s="31">
        <v>0</v>
      </c>
    </row>
    <row r="117" spans="2:3" x14ac:dyDescent="0.25">
      <c r="B117" s="14">
        <f ca="1">'Almost Histogram'!B117</f>
        <v>66.903253566519751</v>
      </c>
      <c r="C117" s="31">
        <v>0</v>
      </c>
    </row>
    <row r="118" spans="2:3" x14ac:dyDescent="0.25">
      <c r="B118" s="14">
        <f ca="1">'Almost Histogram'!B118</f>
        <v>61.708456177973119</v>
      </c>
      <c r="C118" s="31">
        <v>0</v>
      </c>
    </row>
    <row r="119" spans="2:3" x14ac:dyDescent="0.25">
      <c r="B119" s="14">
        <f ca="1">'Almost Histogram'!B119</f>
        <v>64.37725790007093</v>
      </c>
      <c r="C119" s="31">
        <v>0</v>
      </c>
    </row>
    <row r="120" spans="2:3" x14ac:dyDescent="0.25">
      <c r="B120" s="14">
        <f ca="1">'Almost Histogram'!B120</f>
        <v>68.591284302048706</v>
      </c>
      <c r="C120" s="31">
        <v>0</v>
      </c>
    </row>
    <row r="121" spans="2:3" x14ac:dyDescent="0.25">
      <c r="B121" s="14">
        <f ca="1">'Almost Histogram'!B121</f>
        <v>70.403276438005832</v>
      </c>
      <c r="C121" s="31">
        <v>0</v>
      </c>
    </row>
    <row r="122" spans="2:3" x14ac:dyDescent="0.25">
      <c r="B122" s="14">
        <f ca="1">'Almost Histogram'!B122</f>
        <v>62.94308564332897</v>
      </c>
      <c r="C122" s="31">
        <v>0</v>
      </c>
    </row>
    <row r="123" spans="2:3" x14ac:dyDescent="0.25">
      <c r="B123" s="14">
        <f ca="1">'Almost Histogram'!B123</f>
        <v>65.928881334843581</v>
      </c>
      <c r="C123" s="31">
        <v>0</v>
      </c>
    </row>
    <row r="124" spans="2:3" x14ac:dyDescent="0.25">
      <c r="B124" s="14">
        <f ca="1">'Almost Histogram'!B124</f>
        <v>62.630583080097253</v>
      </c>
      <c r="C124" s="31">
        <v>0</v>
      </c>
    </row>
  </sheetData>
  <mergeCells count="9">
    <mergeCell ref="I30:L30"/>
    <mergeCell ref="I31:L31"/>
    <mergeCell ref="P18:U24"/>
    <mergeCell ref="I18:M21"/>
    <mergeCell ref="D2:D3"/>
    <mergeCell ref="G2:G3"/>
    <mergeCell ref="F2:F3"/>
    <mergeCell ref="E2:E3"/>
    <mergeCell ref="H23:N27"/>
  </mergeCells>
  <hyperlinks>
    <hyperlink ref="I30:L30" r:id="rId1" display="Video For this." xr:uid="{53E4836E-7FD9-4C5B-8312-1C079AB38509}"/>
  </hyperlinks>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Bar Charts</vt:lpstr>
      <vt:lpstr>Height Data</vt:lpstr>
      <vt:lpstr>Almost Histogram</vt:lpstr>
      <vt:lpstr>Histogram (Equal Bin Width)</vt:lpstr>
      <vt:lpstr>Histogram (Unequal Bin Widths)</vt:lpstr>
    </vt:vector>
  </TitlesOfParts>
  <Company>Grand Canyon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Ketchersid</dc:creator>
  <cp:lastModifiedBy>Richard Ketchersid</cp:lastModifiedBy>
  <dcterms:created xsi:type="dcterms:W3CDTF">2019-12-17T03:06:51Z</dcterms:created>
  <dcterms:modified xsi:type="dcterms:W3CDTF">2026-05-01T18:12:19Z</dcterms:modified>
</cp:coreProperties>
</file>